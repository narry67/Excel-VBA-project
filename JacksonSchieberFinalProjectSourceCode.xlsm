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har\Downloads\"/>
    </mc:Choice>
  </mc:AlternateContent>
  <xr:revisionPtr revIDLastSave="0" documentId="8_{69284321-5178-4EA1-8808-6ECAE193C103}" xr6:coauthVersionLast="47" xr6:coauthVersionMax="47" xr10:uidLastSave="{00000000-0000-0000-0000-000000000000}"/>
  <bookViews>
    <workbookView xWindow="-98" yWindow="-98" windowWidth="20715" windowHeight="13276" xr2:uid="{2ED66361-0C49-482B-BAAA-31D30E3170EF}"/>
  </bookViews>
  <sheets>
    <sheet name="Welcome" sheetId="1" r:id="rId1"/>
    <sheet name="Issues" sheetId="2" state="hidden" r:id="rId2"/>
    <sheet name="Data Entry" sheetId="3" state="hidden" r:id="rId3"/>
    <sheet name="Pareto Analysis" sheetId="7" state="hidden" r:id="rId4"/>
    <sheet name="Histogram" sheetId="8" state="hidden" r:id="rId5"/>
    <sheet name="DummySheet" sheetId="6" state="hidden" r:id="rId6"/>
  </sheets>
  <definedNames>
    <definedName name="Fields">'Data Entry'!$B$2:$F$2</definedName>
    <definedName name="Issues">Issues!$G$2:$I$9</definedName>
    <definedName name="Large">Issues!$G$2:$G$9</definedName>
    <definedName name="Options">Issues!$A$2:$A$25</definedName>
    <definedName name="PCrow">OFFSET('Pareto Analysis'!$D$3,,,COUNTA('Pareto Analysis'!$D:$D)-1)</definedName>
    <definedName name="PNrow">OFFSET('Pareto Analysis'!$B$3,,,COUNTA('Pareto Analysis'!$B:$B)-1)</definedName>
    <definedName name="_xlnm.Print_Area" localSheetId="0">Welcome!$A$1</definedName>
    <definedName name="PRrow">OFFSET('Pareto Analysis'!$A$3,,,COUNTA('Pareto Analysis'!$A:$A)-1)</definedName>
    <definedName name="Quality">Issues!$I$2:$I$9</definedName>
    <definedName name="rowsp">'Pareto Analysis'!$A$3:$D$9</definedName>
    <definedName name="SCrow">OFFSET('Pareto Analysis'!$I$3,,,COUNTA('Pareto Analysis'!$I:$I)-1)</definedName>
    <definedName name="Small">Issues!$H$2:$H$9</definedName>
    <definedName name="SNrow">OFFSET('Pareto Analysis'!$G$3,,,COUNTA('Pareto Analysis'!$G:$G)-1)</definedName>
    <definedName name="SRrow">OFFSET('Pareto Analysis'!$F$3,,,COUNTA('Pareto Analysis'!$F:$F)-1)</definedName>
    <definedName name="TCrow">OFFSET('Pareto Analysis'!$N$3,,,COUNTA('Pareto Analysis'!$N:$N)-1)</definedName>
    <definedName name="test">Issues!$C$5:$C$14</definedName>
    <definedName name="TNrow">OFFSET('Pareto Analysis'!$L$3,,,COUNTA('Pareto Analysis'!$L:$L)-1)</definedName>
    <definedName name="TRrow">OFFSET('Pareto Analysis'!$K$3,,,COUNTA('Pareto Analysis'!$K:$K)-1)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7" l="1"/>
  <c r="N8" i="7"/>
  <c r="N9" i="7"/>
  <c r="N4" i="7"/>
  <c r="N5" i="7"/>
  <c r="N10" i="7"/>
  <c r="N11" i="7"/>
  <c r="N6" i="7"/>
  <c r="N7" i="7"/>
  <c r="I6" i="7"/>
  <c r="I7" i="7"/>
  <c r="I3" i="7"/>
  <c r="I8" i="7"/>
  <c r="I9" i="7"/>
  <c r="I5" i="7"/>
  <c r="I10" i="7"/>
  <c r="I4" i="7"/>
  <c r="D7" i="7"/>
  <c r="D4" i="7"/>
  <c r="D3" i="7"/>
  <c r="D8" i="7"/>
  <c r="D9" i="7"/>
  <c r="D10" i="7"/>
  <c r="D11" i="7"/>
  <c r="D5" i="7"/>
  <c r="D6" i="7"/>
  <c r="Q22" i="3" a="1"/>
  <c r="Q22" i="3" s="1"/>
  <c r="O22" i="3" a="1"/>
  <c r="O22" i="3" s="1"/>
  <c r="M22" i="3" a="1"/>
  <c r="M22" i="3" s="1"/>
  <c r="P22" i="3" a="1"/>
  <c r="P22" i="3" s="1"/>
  <c r="N22" i="3" a="1"/>
  <c r="N22" i="3" s="1"/>
  <c r="L22" i="3" a="1"/>
  <c r="L22" i="3" s="1"/>
  <c r="B34" i="8"/>
  <c r="B36" i="8"/>
  <c r="B35" i="8"/>
  <c r="D3" i="8"/>
  <c r="C3" i="8"/>
  <c r="D4" i="8"/>
  <c r="C4" i="8"/>
  <c r="B3" i="8"/>
  <c r="B4" i="8"/>
  <c r="A26" i="8" l="1"/>
  <c r="B26" i="8" s="1"/>
  <c r="A17" i="8"/>
  <c r="A18" i="8" s="1"/>
  <c r="A8" i="8"/>
  <c r="B8" i="8" s="1"/>
  <c r="B17" i="8" l="1"/>
  <c r="B18" i="8" s="1"/>
  <c r="A9" i="8"/>
  <c r="A10" i="8" s="1"/>
  <c r="A11" i="8" s="1"/>
  <c r="A12" i="8" s="1"/>
  <c r="A13" i="8" s="1"/>
  <c r="A27" i="8"/>
  <c r="A28" i="8" s="1"/>
  <c r="A19" i="8"/>
  <c r="B9" i="8" l="1"/>
  <c r="B10" i="8" s="1"/>
  <c r="B11" i="8" s="1"/>
  <c r="B12" i="8" s="1"/>
  <c r="B27" i="8"/>
  <c r="B28" i="8" s="1"/>
  <c r="A20" i="8"/>
  <c r="A21" i="8" s="1"/>
  <c r="B19" i="8"/>
  <c r="A29" i="8"/>
  <c r="A30" i="8" s="1"/>
  <c r="B13" i="8" l="1"/>
  <c r="C12" i="8" s="1"/>
  <c r="B29" i="8"/>
  <c r="B30" i="8" s="1"/>
  <c r="B20" i="8"/>
  <c r="B21" i="8" s="1"/>
  <c r="A31" i="8"/>
  <c r="A22" i="8"/>
  <c r="B22" i="8" l="1"/>
  <c r="C17" i="8" s="1"/>
  <c r="C13" i="8"/>
  <c r="C10" i="8"/>
  <c r="C9" i="8"/>
  <c r="C8" i="8"/>
  <c r="C11" i="8"/>
  <c r="B31" i="8"/>
  <c r="C31" i="8" s="1"/>
  <c r="C19" i="8" l="1"/>
  <c r="C20" i="8"/>
  <c r="C21" i="8"/>
  <c r="C22" i="8"/>
  <c r="C18" i="8"/>
  <c r="C29" i="8"/>
  <c r="C30" i="8"/>
  <c r="C26" i="8"/>
  <c r="C27" i="8"/>
  <c r="C2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tc={B42F6D6B-0FAF-48B2-8150-09DFBC304B10}</author>
  </authors>
  <commentList>
    <comment ref="I9" authorId="0" shapeId="0" xr:uid="{B42F6D6B-0FAF-48B2-8150-09DFBC304B10}">
      <text>
        <t>[Threaded comment]
Your version of Excel allows you to read this threaded comment; however, any edits to it will get removed if the file is opened in a newer version of Excel. Learn more: https://go.microsoft.com/fwlink/?linkid=870924
Comment:
    Main Tab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<sst xmlns="http://schemas.openxmlformats.org/spreadsheetml/2006/main" count="157" uniqueCount="101">
  <si>
    <t>WELCOME</t>
  </si>
  <si>
    <t>This program is designed to store and analyze customer complaint data</t>
  </si>
  <si>
    <t>Table of Contents:</t>
  </si>
  <si>
    <t>1 Large</t>
  </si>
  <si>
    <t>10 overall</t>
  </si>
  <si>
    <t>11 chest/bust</t>
  </si>
  <si>
    <t>12 waist</t>
  </si>
  <si>
    <t>13 seat/hips</t>
  </si>
  <si>
    <t>14 rise</t>
  </si>
  <si>
    <t>15 too long</t>
  </si>
  <si>
    <t>16 too wide</t>
  </si>
  <si>
    <t>17 too loose</t>
  </si>
  <si>
    <t>2 Small</t>
  </si>
  <si>
    <t>3 Quality</t>
  </si>
  <si>
    <t>30 seem defective</t>
  </si>
  <si>
    <t>31 material defective</t>
  </si>
  <si>
    <t>32 assembly defective</t>
  </si>
  <si>
    <t>33 instruction missing</t>
  </si>
  <si>
    <t>34 color does not match</t>
  </si>
  <si>
    <t>35 finish not acceptable</t>
  </si>
  <si>
    <t>36 parts missing</t>
  </si>
  <si>
    <t>37 does not work</t>
  </si>
  <si>
    <t>20 overall</t>
  </si>
  <si>
    <t>21 chest/bust</t>
  </si>
  <si>
    <t>22 waist</t>
  </si>
  <si>
    <t>23 seat/hips</t>
  </si>
  <si>
    <t>24 rise</t>
  </si>
  <si>
    <t>25 too long</t>
  </si>
  <si>
    <t>26 too wide</t>
  </si>
  <si>
    <t>27 too loose</t>
  </si>
  <si>
    <t>Cust. ID</t>
  </si>
  <si>
    <t>Primary Cause</t>
  </si>
  <si>
    <t>Secondary Cause</t>
  </si>
  <si>
    <t>Tertiary Cause</t>
  </si>
  <si>
    <t>Procurement</t>
  </si>
  <si>
    <t>20 overall (Small)</t>
  </si>
  <si>
    <t>21 chest/bust (Small)</t>
  </si>
  <si>
    <t>22 waist (Small)</t>
  </si>
  <si>
    <t>23 seat/hips (Small)</t>
  </si>
  <si>
    <t>24 rise (Small)</t>
  </si>
  <si>
    <t>25 too long (Small)</t>
  </si>
  <si>
    <t>26 too wide (Small)</t>
  </si>
  <si>
    <t>27 too loose (Small)</t>
  </si>
  <si>
    <t>30 seem defective (Quality)</t>
  </si>
  <si>
    <t>31 material defective (Quality)</t>
  </si>
  <si>
    <t>32 assembly defective (Quality)</t>
  </si>
  <si>
    <t>33 instruction missing (Quality)</t>
  </si>
  <si>
    <t>34 color does not match (Quality)</t>
  </si>
  <si>
    <t>35 finish not acceptable (Quality)</t>
  </si>
  <si>
    <t>36 parts missing (Quality)</t>
  </si>
  <si>
    <t>37 does not work (Quality)</t>
  </si>
  <si>
    <t>10 overall (Large)</t>
  </si>
  <si>
    <t>11 chest/bust (Large)</t>
  </si>
  <si>
    <t>12 waist (Large)</t>
  </si>
  <si>
    <t>13 seat/hips (Large)</t>
  </si>
  <si>
    <t>14 rise (Large)</t>
  </si>
  <si>
    <t>15 too long (Large)</t>
  </si>
  <si>
    <t>16 too wide (Large)</t>
  </si>
  <si>
    <t>17 too loose (Large)</t>
  </si>
  <si>
    <t>Phone</t>
  </si>
  <si>
    <t>computer</t>
  </si>
  <si>
    <t>Reasons to return</t>
  </si>
  <si>
    <t>Note: feel free to update reasons list as needed; however, if reasons are added, the range "options" must be changed to reflect/inlcude additional rows</t>
  </si>
  <si>
    <t>TV</t>
  </si>
  <si>
    <t>ReasonForReturn</t>
  </si>
  <si>
    <t>NumberOfReturns</t>
  </si>
  <si>
    <t>PercentOfReturns</t>
  </si>
  <si>
    <t>CumPercentOfReturns</t>
  </si>
  <si>
    <t>PRIMARY</t>
  </si>
  <si>
    <t>Secondary</t>
  </si>
  <si>
    <t>Tertiary</t>
  </si>
  <si>
    <t>SECONDARY</t>
  </si>
  <si>
    <t>TERTIARY</t>
  </si>
  <si>
    <t>number of bins</t>
  </si>
  <si>
    <t>bin size</t>
  </si>
  <si>
    <t>Bin start</t>
  </si>
  <si>
    <t>Primary</t>
  </si>
  <si>
    <t>freq</t>
  </si>
  <si>
    <t>cum freq</t>
  </si>
  <si>
    <t>number of returns</t>
  </si>
  <si>
    <t>number of entrys</t>
  </si>
  <si>
    <t>secondary</t>
  </si>
  <si>
    <t>tertiary</t>
  </si>
  <si>
    <t>primary</t>
  </si>
  <si>
    <t>X-Axis: return reason number</t>
  </si>
  <si>
    <t>Y-Axis: number of returns / cum percent</t>
  </si>
  <si>
    <t>Y-Axis: frequency / cum percent</t>
  </si>
  <si>
    <t>X-Axis: number of returns</t>
  </si>
  <si>
    <t>top graphs</t>
  </si>
  <si>
    <t>bottom gaphs</t>
  </si>
  <si>
    <t>Top Causes For Return</t>
  </si>
  <si>
    <t>#returned</t>
  </si>
  <si>
    <t>Welcome</t>
  </si>
  <si>
    <r>
      <rPr>
        <b/>
        <sz val="11"/>
        <color theme="1"/>
        <rFont val="Calibri"/>
        <family val="2"/>
        <scheme val="minor"/>
      </rPr>
      <t xml:space="preserve">Issues: </t>
    </r>
    <r>
      <rPr>
        <sz val="11"/>
        <color theme="1"/>
        <rFont val="Calibri"/>
        <family val="2"/>
        <scheme val="minor"/>
      </rPr>
      <t>list of customer complaint reasons</t>
    </r>
  </si>
  <si>
    <r>
      <rPr>
        <b/>
        <sz val="11"/>
        <color theme="1"/>
        <rFont val="Calibri"/>
        <family val="2"/>
        <scheme val="minor"/>
      </rPr>
      <t>Histogram</t>
    </r>
    <r>
      <rPr>
        <sz val="11"/>
        <color theme="1"/>
        <rFont val="Calibri"/>
        <family val="2"/>
        <scheme val="minor"/>
      </rPr>
      <t>: Two histograms for frequency of returns for Primary, Secondary, and Tertiary</t>
    </r>
  </si>
  <si>
    <t>tv</t>
  </si>
  <si>
    <t>social media</t>
  </si>
  <si>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>: contains all recorded customer complaints. Contains buttons which will prompt user for appropriate information to input, and list relevent statistics</t>
    </r>
  </si>
  <si>
    <r>
      <rPr>
        <b/>
        <sz val="11"/>
        <color theme="1"/>
        <rFont val="Calibri"/>
        <family val="2"/>
        <scheme val="minor"/>
      </rPr>
      <t>Pareto Analysis:</t>
    </r>
    <r>
      <rPr>
        <sz val="11"/>
        <color theme="1"/>
        <rFont val="Calibri"/>
        <family val="2"/>
        <scheme val="minor"/>
      </rPr>
      <t xml:space="preserve"> Pareto analysis of customer complaints. Note that the navigation buttons are on the right</t>
    </r>
  </si>
  <si>
    <t>twitter</t>
  </si>
  <si>
    <t>note that histogram graphs won't reflect updates made to the data until "Pareto Analysis" is performed 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</si>
</sst>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/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4" borderId="0" xfId="0" applyFill="1"/>
    <xf numFmtId="0" fontId="0" fillId="4" borderId="0" xfId="0" applyFill="1" applyAlignment="1"/>
    <xf numFmtId="0" fontId="6" fillId="4" borderId="0" xfId="0" applyFont="1" applyFill="1"/>
    <xf numFmtId="0" fontId="1" fillId="4" borderId="0" xfId="0" applyFont="1" applyFill="1"/>
    <xf numFmtId="0" fontId="1" fillId="4" borderId="0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4" borderId="13" xfId="0" applyFill="1" applyBorder="1"/>
    <xf numFmtId="0" fontId="0" fillId="4" borderId="13" xfId="0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9" fontId="0" fillId="4" borderId="6" xfId="1" applyFont="1" applyFill="1" applyBorder="1" applyAlignment="1">
      <alignment horizontal="center"/>
    </xf>
    <xf numFmtId="9" fontId="0" fillId="4" borderId="3" xfId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2" fontId="0" fillId="5" borderId="0" xfId="0" applyNumberFormat="1" applyFill="1"/>
    <xf numFmtId="9" fontId="0" fillId="5" borderId="0" xfId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Histogram!$B$7</c:f>
              <c:strCache>
                <c:ptCount val="1"/>
                <c:pt idx="0">
                  <c:v>freq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Histogram!$A$8:$A$13</c:f>
              <c:numCache>
                <c:formatCode>0.00</c:formatCode>
                <c:ptCount val="6"/>
                <c:pt idx="0">
                  <c:v>1.3333333333333333</c:v>
                </c:pt>
                <c:pt idx="1">
                  <c:v>1.6666666666666665</c:v>
                </c:pt>
                <c:pt idx="2">
                  <c:v>1.9999999999999998</c:v>
                </c:pt>
                <c:pt idx="3">
                  <c:v>2.333333333333333</c:v>
                </c:pt>
                <c:pt idx="4">
                  <c:v>2.6666666666666665</c:v>
                </c:pt>
                <c:pt idx="5">
                  <c:v>3</c:v>
                </c:pt>
              </c:numCache>
            </c:numRef>
          </c:cat>
          <c:val>
            <c:numRef>
              <c:f>Histogram!$B$8:$B$13</c:f>
              <c:numCache>
                <c:formatCode>General</c:formatCode>
                <c:ptCount val="6"/>
                <c:pt idx="0">
                  <c:v>6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C-46B3-8044-3F3CABE4B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772277184"/>
        <c:axId val="772278824"/>
      </c:barChart>
      <c:lineChart>
        <c:grouping val="standard"/>
        <c:varyColors val="0"/>
        <c:ser>
          <c:idx val="1"/>
          <c:order val="1"/>
          <c:tx>
            <c:strRef>
              <c:f>Histogram!$C$7</c:f>
              <c:strCache>
                <c:ptCount val="1"/>
                <c:pt idx="0">
                  <c:v>cum freq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Histogram!$A$8:$A$13</c:f>
              <c:numCache>
                <c:formatCode>0.00</c:formatCode>
                <c:ptCount val="6"/>
                <c:pt idx="0">
                  <c:v>1.3333333333333333</c:v>
                </c:pt>
                <c:pt idx="1">
                  <c:v>1.6666666666666665</c:v>
                </c:pt>
                <c:pt idx="2">
                  <c:v>1.9999999999999998</c:v>
                </c:pt>
                <c:pt idx="3">
                  <c:v>2.333333333333333</c:v>
                </c:pt>
                <c:pt idx="4">
                  <c:v>2.6666666666666665</c:v>
                </c:pt>
                <c:pt idx="5">
                  <c:v>3</c:v>
                </c:pt>
              </c:numCache>
            </c:numRef>
          </c:cat>
          <c:val>
            <c:numRef>
              <c:f>Histogram!$C$8:$C$13</c:f>
              <c:numCache>
                <c:formatCode>0%</c:formatCode>
                <c:ptCount val="6"/>
                <c:pt idx="0">
                  <c:v>0.66666666666666663</c:v>
                </c:pt>
                <c:pt idx="1">
                  <c:v>0.66666666666666663</c:v>
                </c:pt>
                <c:pt idx="2">
                  <c:v>0.88888888888888884</c:v>
                </c:pt>
                <c:pt idx="3">
                  <c:v>0.88888888888888884</c:v>
                </c:pt>
                <c:pt idx="4">
                  <c:v>0.88888888888888884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0C-46B3-8044-3F3CABE4B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69968"/>
        <c:axId val="772273576"/>
      </c:lineChart>
      <c:catAx>
        <c:axId val="77227718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78824"/>
        <c:crosses val="autoZero"/>
        <c:auto val="1"/>
        <c:lblAlgn val="ctr"/>
        <c:lblOffset val="100"/>
        <c:noMultiLvlLbl val="0"/>
      </c:catAx>
      <c:valAx>
        <c:axId val="77227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77184"/>
        <c:crosses val="autoZero"/>
        <c:crossBetween val="between"/>
      </c:valAx>
      <c:valAx>
        <c:axId val="772273576"/>
        <c:scaling>
          <c:orientation val="minMax"/>
          <c:max val="1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9968"/>
        <c:crosses val="max"/>
        <c:crossBetween val="between"/>
      </c:valAx>
      <c:catAx>
        <c:axId val="7722699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7722735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Secondary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573378511060194E-2"/>
          <c:y val="2.9800023069331886E-2"/>
          <c:w val="0.82274390517811191"/>
          <c:h val="0.54879163693998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Histogram!$B$16</c:f>
              <c:strCache>
                <c:ptCount val="1"/>
                <c:pt idx="0">
                  <c:v>freq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Histogram!$A$17:$A$22</c:f>
              <c:numCache>
                <c:formatCode>0.00</c:formatCode>
                <c:ptCount val="6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  <c:pt idx="5">
                  <c:v>4</c:v>
                </c:pt>
              </c:numCache>
            </c:numRef>
          </c:cat>
          <c:val>
            <c:numRef>
              <c:f>Histogram!$B$17:$B$22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5-4626-BD9A-FC64EF84C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778917264"/>
        <c:axId val="778909392"/>
      </c:barChart>
      <c:lineChart>
        <c:grouping val="standard"/>
        <c:varyColors val="0"/>
        <c:ser>
          <c:idx val="1"/>
          <c:order val="1"/>
          <c:tx>
            <c:strRef>
              <c:f>Histogram!$C$16</c:f>
              <c:strCache>
                <c:ptCount val="1"/>
                <c:pt idx="0">
                  <c:v>cum freq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Histogram!$A$17:$A$22</c:f>
              <c:numCache>
                <c:formatCode>0.00</c:formatCode>
                <c:ptCount val="6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  <c:pt idx="5">
                  <c:v>4</c:v>
                </c:pt>
              </c:numCache>
            </c:numRef>
          </c:cat>
          <c:val>
            <c:numRef>
              <c:f>Histogram!$C$17:$C$22</c:f>
              <c:numCache>
                <c:formatCode>0%</c:formatCode>
                <c:ptCount val="6"/>
                <c:pt idx="0">
                  <c:v>0.625</c:v>
                </c:pt>
                <c:pt idx="1">
                  <c:v>0.875</c:v>
                </c:pt>
                <c:pt idx="2">
                  <c:v>0.875</c:v>
                </c:pt>
                <c:pt idx="3">
                  <c:v>0.875</c:v>
                </c:pt>
                <c:pt idx="4">
                  <c:v>0.875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05-4626-BD9A-FC64EF84C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010088"/>
        <c:axId val="782013696"/>
      </c:lineChart>
      <c:catAx>
        <c:axId val="77891726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909392"/>
        <c:crosses val="autoZero"/>
        <c:auto val="1"/>
        <c:lblAlgn val="ctr"/>
        <c:lblOffset val="100"/>
        <c:noMultiLvlLbl val="0"/>
      </c:catAx>
      <c:valAx>
        <c:axId val="77890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917264"/>
        <c:crosses val="autoZero"/>
        <c:crossBetween val="between"/>
      </c:valAx>
      <c:valAx>
        <c:axId val="782013696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010088"/>
        <c:crosses val="max"/>
        <c:crossBetween val="between"/>
        <c:majorUnit val="0.2"/>
      </c:valAx>
      <c:catAx>
        <c:axId val="7820100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7820136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Tertiary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Histogram!$B$25</c:f>
              <c:strCache>
                <c:ptCount val="1"/>
                <c:pt idx="0">
                  <c:v>freq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Histogram!$A$26:$A$31</c:f>
              <c:numCache>
                <c:formatCode>0.00</c:formatCode>
                <c:ptCount val="6"/>
                <c:pt idx="0">
                  <c:v>1.1666666666666667</c:v>
                </c:pt>
                <c:pt idx="1">
                  <c:v>1.3333333333333335</c:v>
                </c:pt>
                <c:pt idx="2">
                  <c:v>1.5000000000000002</c:v>
                </c:pt>
                <c:pt idx="3">
                  <c:v>1.666666666666667</c:v>
                </c:pt>
                <c:pt idx="4">
                  <c:v>1.8333333333333337</c:v>
                </c:pt>
                <c:pt idx="5">
                  <c:v>2.0000000000000004</c:v>
                </c:pt>
              </c:numCache>
            </c:numRef>
          </c:cat>
          <c:val>
            <c:numRef>
              <c:f>Histogram!$B$26:$B$31</c:f>
              <c:numCache>
                <c:formatCode>General</c:formatCode>
                <c:ptCount val="6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B-49BC-88A0-EF49AD3C9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772274232"/>
        <c:axId val="772264064"/>
      </c:barChart>
      <c:lineChart>
        <c:grouping val="standard"/>
        <c:varyColors val="0"/>
        <c:ser>
          <c:idx val="1"/>
          <c:order val="1"/>
          <c:tx>
            <c:strRef>
              <c:f>Histogram!$C$25</c:f>
              <c:strCache>
                <c:ptCount val="1"/>
                <c:pt idx="0">
                  <c:v>cum freq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Histogram!$A$26:$A$31</c:f>
              <c:numCache>
                <c:formatCode>0.00</c:formatCode>
                <c:ptCount val="6"/>
                <c:pt idx="0">
                  <c:v>1.1666666666666667</c:v>
                </c:pt>
                <c:pt idx="1">
                  <c:v>1.3333333333333335</c:v>
                </c:pt>
                <c:pt idx="2">
                  <c:v>1.5000000000000002</c:v>
                </c:pt>
                <c:pt idx="3">
                  <c:v>1.666666666666667</c:v>
                </c:pt>
                <c:pt idx="4">
                  <c:v>1.8333333333333337</c:v>
                </c:pt>
                <c:pt idx="5">
                  <c:v>2.0000000000000004</c:v>
                </c:pt>
              </c:numCache>
            </c:numRef>
          </c:cat>
          <c:val>
            <c:numRef>
              <c:f>Histogram!$C$26:$C$31</c:f>
              <c:numCache>
                <c:formatCode>0%</c:formatCode>
                <c:ptCount val="6"/>
                <c:pt idx="0">
                  <c:v>0.55555555555555558</c:v>
                </c:pt>
                <c:pt idx="1">
                  <c:v>0.55555555555555558</c:v>
                </c:pt>
                <c:pt idx="2">
                  <c:v>0.55555555555555558</c:v>
                </c:pt>
                <c:pt idx="3">
                  <c:v>0.55555555555555558</c:v>
                </c:pt>
                <c:pt idx="4">
                  <c:v>0.55555555555555558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EB-49BC-88A0-EF49AD3C9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643232"/>
        <c:axId val="802644544"/>
      </c:lineChart>
      <c:catAx>
        <c:axId val="7722742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4064"/>
        <c:crosses val="autoZero"/>
        <c:auto val="1"/>
        <c:lblAlgn val="ctr"/>
        <c:lblOffset val="100"/>
        <c:noMultiLvlLbl val="0"/>
      </c:catAx>
      <c:valAx>
        <c:axId val="77226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74232"/>
        <c:crosses val="autoZero"/>
        <c:crossBetween val="between"/>
      </c:valAx>
      <c:valAx>
        <c:axId val="802644544"/>
        <c:scaling>
          <c:orientation val="minMax"/>
          <c:max val="1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643232"/>
        <c:crosses val="max"/>
        <c:crossBetween val="between"/>
      </c:valAx>
      <c:catAx>
        <c:axId val="8026432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026445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26110628540685E-2"/>
          <c:y val="0.12631759888679037"/>
          <c:w val="0.87928339922710386"/>
          <c:h val="0.7167700400934611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'Pareto Analysis'!$B$1:$B$2</c:f>
              <c:strCache>
                <c:ptCount val="2"/>
                <c:pt idx="0">
                  <c:v>PRIMARY</c:v>
                </c:pt>
                <c:pt idx="1">
                  <c:v>NumberOfReturns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[0]!PRrow</c:f>
              <c:numCache>
                <c:formatCode>General</c:formatCode>
                <c:ptCount val="10"/>
                <c:pt idx="0">
                  <c:v>12</c:v>
                </c:pt>
                <c:pt idx="1">
                  <c:v>10</c:v>
                </c:pt>
                <c:pt idx="2">
                  <c:v>35</c:v>
                </c:pt>
                <c:pt idx="3">
                  <c:v>1</c:v>
                </c:pt>
                <c:pt idx="4">
                  <c:v>7</c:v>
                </c:pt>
                <c:pt idx="5">
                  <c:v>14</c:v>
                </c:pt>
                <c:pt idx="6">
                  <c:v>16</c:v>
                </c:pt>
                <c:pt idx="7">
                  <c:v>30</c:v>
                </c:pt>
                <c:pt idx="8">
                  <c:v>31</c:v>
                </c:pt>
              </c:numCache>
            </c:numRef>
          </c:cat>
          <c:val>
            <c:numRef>
              <c:f>[0]!PNrow</c:f>
              <c:numCache>
                <c:formatCode>General</c:formatCode>
                <c:ptCount val="9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7-4AEA-82E1-981AA7C5E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77824"/>
        <c:axId val="87767815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'Pareto Analysis'!$A$1:$A$2</c15:sqref>
                        </c15:formulaRef>
                      </c:ext>
                    </c:extLst>
                    <c:strCache>
                      <c:ptCount val="2"/>
                      <c:pt idx="0">
                        <c:v>PRIMARY</c:v>
                      </c:pt>
                      <c:pt idx="1">
                        <c:v>ReasonForReturn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[0]!PRrow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</c:v>
                      </c:pt>
                      <c:pt idx="1">
                        <c:v>10</c:v>
                      </c:pt>
                      <c:pt idx="2">
                        <c:v>35</c:v>
                      </c:pt>
                      <c:pt idx="3">
                        <c:v>1</c:v>
                      </c:pt>
                      <c:pt idx="4">
                        <c:v>7</c:v>
                      </c:pt>
                      <c:pt idx="5">
                        <c:v>14</c:v>
                      </c:pt>
                      <c:pt idx="6">
                        <c:v>16</c:v>
                      </c:pt>
                      <c:pt idx="7">
                        <c:v>30</c:v>
                      </c:pt>
                      <c:pt idx="8">
                        <c:v>31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'Pareto Analysis'!$A$3:$A$9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12</c:v>
                      </c:pt>
                      <c:pt idx="1">
                        <c:v>10</c:v>
                      </c:pt>
                      <c:pt idx="2">
                        <c:v>35</c:v>
                      </c:pt>
                      <c:pt idx="3">
                        <c:v>1</c:v>
                      </c:pt>
                      <c:pt idx="4">
                        <c:v>7</c:v>
                      </c:pt>
                      <c:pt idx="5">
                        <c:v>14</c:v>
                      </c:pt>
                      <c:pt idx="6">
                        <c:v>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E807-4AEA-82E1-981AA7C5EB1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'Pareto Analysis'!$C$1:$C$2</c15:sqref>
                        </c15:formulaRef>
                      </c:ext>
                    </c:extLst>
                    <c:strCache>
                      <c:ptCount val="2"/>
                      <c:pt idx="0">
                        <c:v>PRIMARY</c:v>
                      </c:pt>
                      <c:pt idx="1">
                        <c:v>PercentOfReturns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[0]!PRrow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</c:v>
                      </c:pt>
                      <c:pt idx="1">
                        <c:v>10</c:v>
                      </c:pt>
                      <c:pt idx="2">
                        <c:v>35</c:v>
                      </c:pt>
                      <c:pt idx="3">
                        <c:v>1</c:v>
                      </c:pt>
                      <c:pt idx="4">
                        <c:v>7</c:v>
                      </c:pt>
                      <c:pt idx="5">
                        <c:v>14</c:v>
                      </c:pt>
                      <c:pt idx="6">
                        <c:v>16</c:v>
                      </c:pt>
                      <c:pt idx="7">
                        <c:v>30</c:v>
                      </c:pt>
                      <c:pt idx="8">
                        <c:v>31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'Pareto Analysis'!$C$3:$C$9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0.23076923076923078</c:v>
                      </c:pt>
                      <c:pt idx="1">
                        <c:v>0.15384615384615385</c:v>
                      </c:pt>
                      <c:pt idx="2">
                        <c:v>0.15384615384615385</c:v>
                      </c:pt>
                      <c:pt idx="3">
                        <c:v>7.6923076923076927E-2</c:v>
                      </c:pt>
                      <c:pt idx="4">
                        <c:v>7.6923076923076927E-2</c:v>
                      </c:pt>
                      <c:pt idx="5">
                        <c:v>7.6923076923076927E-2</c:v>
                      </c:pt>
                      <c:pt idx="6">
                        <c:v>7.6923076923076927E-2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807-4AEA-82E1-981AA7C5EB1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'Pareto Analysis'!$D$1:$D$2</c:f>
              <c:strCache>
                <c:ptCount val="2"/>
                <c:pt idx="0">
                  <c:v>PRIMARY</c:v>
                </c:pt>
                <c:pt idx="1">
                  <c:v>CumPercentOfReturns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[0]!PCrow</c:f>
              <c:numCache>
                <c:formatCode>0%</c:formatCode>
                <c:ptCount val="9"/>
                <c:pt idx="0">
                  <c:v>0.23076923076923078</c:v>
                </c:pt>
                <c:pt idx="1">
                  <c:v>0.38461538461538464</c:v>
                </c:pt>
                <c:pt idx="2">
                  <c:v>0.53846153846153855</c:v>
                </c:pt>
                <c:pt idx="3">
                  <c:v>0.61538461538461542</c:v>
                </c:pt>
                <c:pt idx="4">
                  <c:v>0.69230769230769229</c:v>
                </c:pt>
                <c:pt idx="5">
                  <c:v>0.76923076923076916</c:v>
                </c:pt>
                <c:pt idx="6">
                  <c:v>0.84615384615384603</c:v>
                </c:pt>
                <c:pt idx="7">
                  <c:v>0.92307692307692291</c:v>
                </c:pt>
                <c:pt idx="8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07-4AEA-82E1-981AA7C5E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7681760"/>
        <c:axId val="877679792"/>
      </c:lineChart>
      <c:catAx>
        <c:axId val="87767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78152"/>
        <c:crosses val="autoZero"/>
        <c:auto val="1"/>
        <c:lblAlgn val="ctr"/>
        <c:lblOffset val="100"/>
        <c:noMultiLvlLbl val="0"/>
      </c:catAx>
      <c:valAx>
        <c:axId val="87767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77824"/>
        <c:crosses val="autoZero"/>
        <c:crossBetween val="between"/>
      </c:valAx>
      <c:valAx>
        <c:axId val="877679792"/>
        <c:scaling>
          <c:orientation val="minMax"/>
          <c:max val="1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81760"/>
        <c:crosses val="max"/>
        <c:crossBetween val="between"/>
      </c:valAx>
      <c:catAx>
        <c:axId val="877681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7679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Secondary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'Pareto Analysis'!$G$1:$G$2</c:f>
              <c:strCache>
                <c:ptCount val="2"/>
                <c:pt idx="0">
                  <c:v>SECONDARY</c:v>
                </c:pt>
                <c:pt idx="1">
                  <c:v>NumberOfReturns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[0]!SRrow</c:f>
              <c:numCache>
                <c:formatCode>General</c:formatCode>
                <c:ptCount val="9"/>
                <c:pt idx="0">
                  <c:v>11</c:v>
                </c:pt>
                <c:pt idx="1">
                  <c:v>10</c:v>
                </c:pt>
                <c:pt idx="2">
                  <c:v>13</c:v>
                </c:pt>
                <c:pt idx="3">
                  <c:v>15</c:v>
                </c:pt>
                <c:pt idx="4">
                  <c:v>16</c:v>
                </c:pt>
                <c:pt idx="5">
                  <c:v>34</c:v>
                </c:pt>
                <c:pt idx="6">
                  <c:v>32</c:v>
                </c:pt>
                <c:pt idx="7">
                  <c:v>36</c:v>
                </c:pt>
              </c:numCache>
            </c:numRef>
          </c:cat>
          <c:val>
            <c:numRef>
              <c:f>[0]!SNrow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F-4CB6-AFE1-6684C1CC8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776706416"/>
        <c:axId val="77670379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'Pareto Analysis'!$F$1:$F$2</c15:sqref>
                        </c15:formulaRef>
                      </c:ext>
                    </c:extLst>
                    <c:strCache>
                      <c:ptCount val="2"/>
                      <c:pt idx="0">
                        <c:v>SECONDARY</c:v>
                      </c:pt>
                      <c:pt idx="1">
                        <c:v>ReasonForReturn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[0]!SRrow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11</c:v>
                      </c:pt>
                      <c:pt idx="1">
                        <c:v>10</c:v>
                      </c:pt>
                      <c:pt idx="2">
                        <c:v>13</c:v>
                      </c:pt>
                      <c:pt idx="3">
                        <c:v>15</c:v>
                      </c:pt>
                      <c:pt idx="4">
                        <c:v>16</c:v>
                      </c:pt>
                      <c:pt idx="5">
                        <c:v>34</c:v>
                      </c:pt>
                      <c:pt idx="6">
                        <c:v>32</c:v>
                      </c:pt>
                      <c:pt idx="7">
                        <c:v>36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'Pareto Analysis'!$F$3:$F$8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11</c:v>
                      </c:pt>
                      <c:pt idx="1">
                        <c:v>10</c:v>
                      </c:pt>
                      <c:pt idx="2">
                        <c:v>13</c:v>
                      </c:pt>
                      <c:pt idx="3">
                        <c:v>15</c:v>
                      </c:pt>
                      <c:pt idx="4">
                        <c:v>16</c:v>
                      </c:pt>
                      <c:pt idx="5">
                        <c:v>34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EFF-4CB6-AFE1-6684C1CC8CB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'Pareto Analysis'!$H$1:$H$2</c15:sqref>
                        </c15:formulaRef>
                      </c:ext>
                    </c:extLst>
                    <c:strCache>
                      <c:ptCount val="2"/>
                      <c:pt idx="0">
                        <c:v>SECONDARY</c:v>
                      </c:pt>
                      <c:pt idx="1">
                        <c:v>PercentOfReturns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[0]!SRrow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11</c:v>
                      </c:pt>
                      <c:pt idx="1">
                        <c:v>10</c:v>
                      </c:pt>
                      <c:pt idx="2">
                        <c:v>13</c:v>
                      </c:pt>
                      <c:pt idx="3">
                        <c:v>15</c:v>
                      </c:pt>
                      <c:pt idx="4">
                        <c:v>16</c:v>
                      </c:pt>
                      <c:pt idx="5">
                        <c:v>34</c:v>
                      </c:pt>
                      <c:pt idx="6">
                        <c:v>32</c:v>
                      </c:pt>
                      <c:pt idx="7">
                        <c:v>36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'Pareto Analysis'!$H$3:$H$8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0.30769230769230771</c:v>
                      </c:pt>
                      <c:pt idx="1">
                        <c:v>0.15384615384615385</c:v>
                      </c:pt>
                      <c:pt idx="2">
                        <c:v>0.15384615384615385</c:v>
                      </c:pt>
                      <c:pt idx="3">
                        <c:v>7.6923076923076927E-2</c:v>
                      </c:pt>
                      <c:pt idx="4">
                        <c:v>7.6923076923076927E-2</c:v>
                      </c:pt>
                      <c:pt idx="5">
                        <c:v>7.6923076923076927E-2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EFF-4CB6-AFE1-6684C1CC8C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'Pareto Analysis'!$I$1:$I$2</c:f>
              <c:strCache>
                <c:ptCount val="2"/>
                <c:pt idx="0">
                  <c:v>SECONDARY</c:v>
                </c:pt>
                <c:pt idx="1">
                  <c:v>CumPercentOfReturns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[0]!SCrow</c:f>
              <c:numCache>
                <c:formatCode>0%</c:formatCode>
                <c:ptCount val="8"/>
                <c:pt idx="0">
                  <c:v>0.30769230769230771</c:v>
                </c:pt>
                <c:pt idx="1">
                  <c:v>0.46153846153846156</c:v>
                </c:pt>
                <c:pt idx="2">
                  <c:v>0.61538461538461542</c:v>
                </c:pt>
                <c:pt idx="3">
                  <c:v>0.69230769230769229</c:v>
                </c:pt>
                <c:pt idx="4">
                  <c:v>0.76923076923076916</c:v>
                </c:pt>
                <c:pt idx="5">
                  <c:v>0.84615384615384603</c:v>
                </c:pt>
                <c:pt idx="6">
                  <c:v>0.92307692307692291</c:v>
                </c:pt>
                <c:pt idx="7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F-4CB6-AFE1-6684C1CC8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6709040"/>
        <c:axId val="776707400"/>
      </c:lineChart>
      <c:catAx>
        <c:axId val="7767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703792"/>
        <c:crosses val="autoZero"/>
        <c:auto val="1"/>
        <c:lblAlgn val="ctr"/>
        <c:lblOffset val="100"/>
        <c:noMultiLvlLbl val="0"/>
      </c:catAx>
      <c:valAx>
        <c:axId val="77670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706416"/>
        <c:crosses val="autoZero"/>
        <c:crossBetween val="between"/>
      </c:valAx>
      <c:valAx>
        <c:axId val="776707400"/>
        <c:scaling>
          <c:orientation val="minMax"/>
          <c:max val="1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709040"/>
        <c:crosses val="max"/>
        <c:crossBetween val="between"/>
      </c:valAx>
      <c:catAx>
        <c:axId val="776709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776707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Tertiary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'Pareto Analysis'!$L$1:$L$2</c:f>
              <c:strCache>
                <c:ptCount val="2"/>
                <c:pt idx="0">
                  <c:v>TERTIARY</c:v>
                </c:pt>
                <c:pt idx="1">
                  <c:v>NumberOfReturns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[0]!TRrow</c:f>
              <c:numCache>
                <c:formatCode>General</c:formatCode>
                <c:ptCount val="10"/>
                <c:pt idx="0">
                  <c:v>12</c:v>
                </c:pt>
                <c:pt idx="1">
                  <c:v>14</c:v>
                </c:pt>
                <c:pt idx="2">
                  <c:v>22</c:v>
                </c:pt>
                <c:pt idx="3">
                  <c:v>37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34</c:v>
                </c:pt>
                <c:pt idx="8">
                  <c:v>16</c:v>
                </c:pt>
              </c:numCache>
            </c:numRef>
          </c:cat>
          <c:val>
            <c:numRef>
              <c:f>[0]!TNrow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0C-40DA-99E4-0F356E99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01876080"/>
        <c:axId val="8018790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'Pareto Analysis'!$K$1:$K$2</c15:sqref>
                        </c15:formulaRef>
                      </c:ext>
                    </c:extLst>
                    <c:strCache>
                      <c:ptCount val="2"/>
                      <c:pt idx="0">
                        <c:v>TERTIARY</c:v>
                      </c:pt>
                      <c:pt idx="1">
                        <c:v>ReasonForReturn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[0]!TRrow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</c:v>
                      </c:pt>
                      <c:pt idx="1">
                        <c:v>14</c:v>
                      </c:pt>
                      <c:pt idx="2">
                        <c:v>22</c:v>
                      </c:pt>
                      <c:pt idx="3">
                        <c:v>37</c:v>
                      </c:pt>
                      <c:pt idx="4">
                        <c:v>5</c:v>
                      </c:pt>
                      <c:pt idx="5">
                        <c:v>10</c:v>
                      </c:pt>
                      <c:pt idx="6">
                        <c:v>15</c:v>
                      </c:pt>
                      <c:pt idx="7">
                        <c:v>34</c:v>
                      </c:pt>
                      <c:pt idx="8">
                        <c:v>16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'Pareto Analysis'!$K$3:$K$9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12</c:v>
                      </c:pt>
                      <c:pt idx="1">
                        <c:v>14</c:v>
                      </c:pt>
                      <c:pt idx="2">
                        <c:v>22</c:v>
                      </c:pt>
                      <c:pt idx="3">
                        <c:v>37</c:v>
                      </c:pt>
                      <c:pt idx="4">
                        <c:v>5</c:v>
                      </c:pt>
                      <c:pt idx="5">
                        <c:v>10</c:v>
                      </c:pt>
                      <c:pt idx="6">
                        <c:v>15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10C-40DA-99E4-0F356E99E36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'Pareto Analysis'!$M$1:$M$2</c15:sqref>
                        </c15:formulaRef>
                      </c:ext>
                    </c:extLst>
                    <c:strCache>
                      <c:ptCount val="2"/>
                      <c:pt idx="0">
                        <c:v>TERTIARY</c:v>
                      </c:pt>
                      <c:pt idx="1">
                        <c:v>PercentOfReturns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[0]!TRrow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</c:v>
                      </c:pt>
                      <c:pt idx="1">
                        <c:v>14</c:v>
                      </c:pt>
                      <c:pt idx="2">
                        <c:v>22</c:v>
                      </c:pt>
                      <c:pt idx="3">
                        <c:v>37</c:v>
                      </c:pt>
                      <c:pt idx="4">
                        <c:v>5</c:v>
                      </c:pt>
                      <c:pt idx="5">
                        <c:v>10</c:v>
                      </c:pt>
                      <c:pt idx="6">
                        <c:v>15</c:v>
                      </c:pt>
                      <c:pt idx="7">
                        <c:v>34</c:v>
                      </c:pt>
                      <c:pt idx="8">
                        <c:v>16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'Pareto Analysis'!$M$3:$M$9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0.15384615384615385</c:v>
                      </c:pt>
                      <c:pt idx="1">
                        <c:v>0.15384615384615385</c:v>
                      </c:pt>
                      <c:pt idx="2">
                        <c:v>0.15384615384615385</c:v>
                      </c:pt>
                      <c:pt idx="3">
                        <c:v>0.15384615384615385</c:v>
                      </c:pt>
                      <c:pt idx="4">
                        <c:v>7.6923076923076927E-2</c:v>
                      </c:pt>
                      <c:pt idx="5">
                        <c:v>7.6923076923076927E-2</c:v>
                      </c:pt>
                      <c:pt idx="6">
                        <c:v>7.6923076923076927E-2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10C-40DA-99E4-0F356E99E367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'Pareto Analysis'!$N$1:$N$2</c:f>
              <c:strCache>
                <c:ptCount val="2"/>
                <c:pt idx="0">
                  <c:v>TERTIARY</c:v>
                </c:pt>
                <c:pt idx="1">
                  <c:v>CumPercentOfReturns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[0]!TCrow</c:f>
              <c:numCache>
                <c:formatCode>0%</c:formatCode>
                <c:ptCount val="9"/>
                <c:pt idx="0">
                  <c:v>0.15384615384615385</c:v>
                </c:pt>
                <c:pt idx="1">
                  <c:v>0.30769230769230771</c:v>
                </c:pt>
                <c:pt idx="2">
                  <c:v>0.46153846153846156</c:v>
                </c:pt>
                <c:pt idx="3">
                  <c:v>0.61538461538461542</c:v>
                </c:pt>
                <c:pt idx="4">
                  <c:v>0.69230769230769229</c:v>
                </c:pt>
                <c:pt idx="5">
                  <c:v>0.76923076923076916</c:v>
                </c:pt>
                <c:pt idx="6">
                  <c:v>0.84615384615384603</c:v>
                </c:pt>
                <c:pt idx="7">
                  <c:v>0.92307692307692291</c:v>
                </c:pt>
                <c:pt idx="8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0C-40DA-99E4-0F356E99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0446624"/>
        <c:axId val="810449904"/>
      </c:lineChart>
      <c:catAx>
        <c:axId val="80187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79032"/>
        <c:crosses val="autoZero"/>
        <c:auto val="1"/>
        <c:lblAlgn val="ctr"/>
        <c:lblOffset val="100"/>
        <c:noMultiLvlLbl val="0"/>
      </c:catAx>
      <c:valAx>
        <c:axId val="80187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76080"/>
        <c:crosses val="autoZero"/>
        <c:crossBetween val="between"/>
      </c:valAx>
      <c:valAx>
        <c:axId val="810449904"/>
        <c:scaling>
          <c:orientation val="minMax"/>
          <c:max val="1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446624"/>
        <c:crosses val="max"/>
        <c:crossBetween val="between"/>
      </c:valAx>
      <c:catAx>
        <c:axId val="810446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810449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28574</xdr:colOff>
          <xdr:row>14</xdr:row>
          <xdr:rowOff>128589</xdr:rowOff>
        </xdr:from>
        <xdr:to>
          <xdr:col>7</xdr:col>
          <xdr:colOff>271463</xdr:colOff>
          <xdr:row>16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Issues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9524</xdr:colOff>
          <xdr:row>17</xdr:row>
          <xdr:rowOff>138112</xdr:rowOff>
        </xdr:from>
        <xdr:to>
          <xdr:col>7</xdr:col>
          <xdr:colOff>285750</xdr:colOff>
          <xdr:row>19</xdr:row>
          <xdr:rowOff>128587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Data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119063</xdr:rowOff>
        </xdr:from>
        <xdr:to>
          <xdr:col>7</xdr:col>
          <xdr:colOff>271463</xdr:colOff>
          <xdr:row>22</xdr:row>
          <xdr:rowOff>109538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11324F9-CFA7-4A2E-BCE0-A5726322A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Pareto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57150</xdr:rowOff>
        </xdr:from>
        <xdr:to>
          <xdr:col>7</xdr:col>
          <xdr:colOff>242888</xdr:colOff>
          <xdr:row>25</xdr:row>
          <xdr:rowOff>42863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8235BB7-E35F-4483-A264-23E513DD3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Histrogram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633412</xdr:colOff>
          <xdr:row>26</xdr:row>
          <xdr:rowOff>33336</xdr:rowOff>
        </xdr:from>
        <xdr:to>
          <xdr:col>7</xdr:col>
          <xdr:colOff>242888</xdr:colOff>
          <xdr:row>28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642938</xdr:colOff>
          <xdr:row>29</xdr:row>
          <xdr:rowOff>38100</xdr:rowOff>
        </xdr:from>
        <xdr:to>
          <xdr:col>7</xdr:col>
          <xdr:colOff>252413</xdr:colOff>
          <xdr:row>31</xdr:row>
          <xdr:rowOff>61912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1368CAC-5CBA-4546-A8A7-6F36A368C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Screen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509587</xdr:colOff>
          <xdr:row>12</xdr:row>
          <xdr:rowOff>61913</xdr:rowOff>
        </xdr:from>
        <xdr:to>
          <xdr:col>5</xdr:col>
          <xdr:colOff>1219199</xdr:colOff>
          <xdr:row>14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BAFAA37-E292-479B-B3F0-897890D09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Welcome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15</xdr:row>
          <xdr:rowOff>71438</xdr:rowOff>
        </xdr:from>
        <xdr:to>
          <xdr:col>5</xdr:col>
          <xdr:colOff>1209675</xdr:colOff>
          <xdr:row>17</xdr:row>
          <xdr:rowOff>61913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680BB06B-2558-4A30-8D71-495DDDD29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Data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18</xdr:row>
          <xdr:rowOff>52388</xdr:rowOff>
        </xdr:from>
        <xdr:to>
          <xdr:col>5</xdr:col>
          <xdr:colOff>1195388</xdr:colOff>
          <xdr:row>20</xdr:row>
          <xdr:rowOff>42863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637949E0-D3F3-4016-ACE5-9B1C68E2A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Pareto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20</xdr:row>
          <xdr:rowOff>171450</xdr:rowOff>
        </xdr:from>
        <xdr:to>
          <xdr:col>5</xdr:col>
          <xdr:colOff>1166813</xdr:colOff>
          <xdr:row>22</xdr:row>
          <xdr:rowOff>157163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D48A0239-813F-40B8-8EB9-997B842ED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Histrogram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157162</xdr:rowOff>
        </xdr:from>
        <xdr:to>
          <xdr:col>15</xdr:col>
          <xdr:colOff>276224</xdr:colOff>
          <xdr:row>3</xdr:row>
          <xdr:rowOff>176213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14288</xdr:colOff>
          <xdr:row>4</xdr:row>
          <xdr:rowOff>142876</xdr:rowOff>
        </xdr:from>
        <xdr:to>
          <xdr:col>15</xdr:col>
          <xdr:colOff>285750</xdr:colOff>
          <xdr:row>8</xdr:row>
          <xdr:rowOff>23814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14289</xdr:rowOff>
        </xdr:from>
        <xdr:to>
          <xdr:col>15</xdr:col>
          <xdr:colOff>295275</xdr:colOff>
          <xdr:row>12</xdr:row>
          <xdr:rowOff>104776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90487</xdr:rowOff>
        </xdr:from>
        <xdr:to>
          <xdr:col>15</xdr:col>
          <xdr:colOff>304800</xdr:colOff>
          <xdr:row>17</xdr:row>
          <xdr:rowOff>14289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Pareto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61913</xdr:rowOff>
        </xdr:from>
        <xdr:to>
          <xdr:col>9</xdr:col>
          <xdr:colOff>185738</xdr:colOff>
          <xdr:row>15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F1203F3B-3550-4C30-9C73-CF5CD39E1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Issues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16</xdr:row>
          <xdr:rowOff>71438</xdr:rowOff>
        </xdr:from>
        <xdr:to>
          <xdr:col>9</xdr:col>
          <xdr:colOff>200025</xdr:colOff>
          <xdr:row>18</xdr:row>
          <xdr:rowOff>61913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8489050B-D28E-403F-B76D-F100AEC2C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Welcome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19</xdr:row>
          <xdr:rowOff>52388</xdr:rowOff>
        </xdr:from>
        <xdr:to>
          <xdr:col>9</xdr:col>
          <xdr:colOff>185738</xdr:colOff>
          <xdr:row>21</xdr:row>
          <xdr:rowOff>42863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535F1BAD-8A49-4EF0-B849-FB3929A34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Pareto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21</xdr:row>
          <xdr:rowOff>171450</xdr:rowOff>
        </xdr:from>
        <xdr:to>
          <xdr:col>9</xdr:col>
          <xdr:colOff>157163</xdr:colOff>
          <xdr:row>23</xdr:row>
          <xdr:rowOff>157163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F432F0CF-1973-4C4A-A7AE-0362FDD54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Histrogram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61913</xdr:colOff>
          <xdr:row>1</xdr:row>
          <xdr:rowOff>61913</xdr:rowOff>
        </xdr:from>
        <xdr:to>
          <xdr:col>17</xdr:col>
          <xdr:colOff>304800</xdr:colOff>
          <xdr:row>3</xdr:row>
          <xdr:rowOff>104775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10746CEA-BF5B-43BD-AC39-41F226122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Welcome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42863</xdr:colOff>
          <xdr:row>4</xdr:row>
          <xdr:rowOff>71438</xdr:rowOff>
        </xdr:from>
        <xdr:to>
          <xdr:col>17</xdr:col>
          <xdr:colOff>319088</xdr:colOff>
          <xdr:row>6</xdr:row>
          <xdr:rowOff>61913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4B5EEBC2-5082-46B3-8701-BCB3E62A9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Data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42863</xdr:colOff>
          <xdr:row>7</xdr:row>
          <xdr:rowOff>52388</xdr:rowOff>
        </xdr:from>
        <xdr:to>
          <xdr:col>17</xdr:col>
          <xdr:colOff>304800</xdr:colOff>
          <xdr:row>9</xdr:row>
          <xdr:rowOff>42863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AAB00480-C3D2-4B5E-9A05-0B5A231F1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Issues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33338</xdr:colOff>
          <xdr:row>9</xdr:row>
          <xdr:rowOff>171450</xdr:rowOff>
        </xdr:from>
        <xdr:to>
          <xdr:col>17</xdr:col>
          <xdr:colOff>276225</xdr:colOff>
          <xdr:row>11</xdr:row>
          <xdr:rowOff>157163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1E0A9523-14ED-41C1-A07B-22E9D6735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Histrogram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631827</xdr:colOff>
      <xdr:row>0</xdr:row>
      <xdr:rowOff>1</xdr:rowOff>
    </xdr:from>
    <xdr:to>
      <xdr:col>22</xdr:col>
      <xdr:colOff>79375</xdr:colOff>
      <xdr:row>24</xdr:row>
      <xdr:rowOff>63501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629F25-3FF4-4659-81A9-56E0339F1E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142872</xdr:colOff>
      <xdr:row>0</xdr:row>
      <xdr:rowOff>0</xdr:rowOff>
    </xdr:from>
    <xdr:to>
      <xdr:col>36</xdr:col>
      <xdr:colOff>646110</xdr:colOff>
      <xdr:row>24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3199E2-F132-416B-B6B9-D01780AE0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460372</xdr:colOff>
      <xdr:row>0</xdr:row>
      <xdr:rowOff>15875</xdr:rowOff>
    </xdr:from>
    <xdr:to>
      <xdr:col>52</xdr:col>
      <xdr:colOff>238124</xdr:colOff>
      <xdr:row>24</xdr:row>
      <xdr:rowOff>15874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90F0AE-4EE6-4605-9D57-5D05D61D4C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646649</xdr:colOff>
      <xdr:row>25</xdr:row>
      <xdr:rowOff>63499</xdr:rowOff>
    </xdr:from>
    <xdr:to>
      <xdr:col>22</xdr:col>
      <xdr:colOff>61169</xdr:colOff>
      <xdr:row>51</xdr:row>
      <xdr:rowOff>87385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AA6442-691E-4549-A3C8-38A9CE2CDF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222249</xdr:colOff>
      <xdr:row>25</xdr:row>
      <xdr:rowOff>47624</xdr:rowOff>
    </xdr:from>
    <xdr:to>
      <xdr:col>37</xdr:col>
      <xdr:colOff>-1</xdr:colOff>
      <xdr:row>51</xdr:row>
      <xdr:rowOff>79374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CE9DF1-9808-4472-A981-39C54D43E3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480620</xdr:colOff>
      <xdr:row>25</xdr:row>
      <xdr:rowOff>43692</xdr:rowOff>
    </xdr:from>
    <xdr:to>
      <xdr:col>52</xdr:col>
      <xdr:colOff>285751</xdr:colOff>
      <xdr:row>51</xdr:row>
      <xdr:rowOff>65538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E660B2E-39DE-4099-8B51-AC96B021E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423863</xdr:colOff>
          <xdr:row>9</xdr:row>
          <xdr:rowOff>61913</xdr:rowOff>
        </xdr:from>
        <xdr:to>
          <xdr:col>6</xdr:col>
          <xdr:colOff>19050</xdr:colOff>
          <xdr:row>11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AD456C43-F1E1-411F-A328-89D1417F8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Welcome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404813</xdr:colOff>
          <xdr:row>12</xdr:row>
          <xdr:rowOff>71438</xdr:rowOff>
        </xdr:from>
        <xdr:to>
          <xdr:col>6</xdr:col>
          <xdr:colOff>33338</xdr:colOff>
          <xdr:row>14</xdr:row>
          <xdr:rowOff>61913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B936EC9F-5870-41DD-9A80-2F43D5ED2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Data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391705</xdr:colOff>
          <xdr:row>15</xdr:row>
          <xdr:rowOff>52388</xdr:rowOff>
        </xdr:from>
        <xdr:to>
          <xdr:col>6</xdr:col>
          <xdr:colOff>26215</xdr:colOff>
          <xdr:row>17</xdr:row>
          <xdr:rowOff>42863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27128A74-DA97-4382-9628-AB15F9B78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Pareto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395288</xdr:colOff>
          <xdr:row>17</xdr:row>
          <xdr:rowOff>171450</xdr:rowOff>
        </xdr:from>
        <xdr:to>
          <xdr:col>5</xdr:col>
          <xdr:colOff>638175</xdr:colOff>
          <xdr:row>19</xdr:row>
          <xdr:rowOff>157163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579F1B55-8DBA-40CB-A758-4211B3150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Issues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ckson Schieber" id="{D10835DA-3A48-4880-B86B-3BCCF6C707AF}" userId="3b2285ee19ea487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9" dT="2021-11-14T02:21:41.02" personId="{D10835DA-3A48-4880-B86B-3BCCF6C707AF}" id="{B42F6D6B-0FAF-48B2-8150-09DFBC304B10}">
    <text>Main Tab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BB48C-C569-42EA-95F9-7A0B16E65D53}">
  <sheetPr codeName="Sheet1"/>
  <dimension ref="F3:L12"/>
  <sheetViews>
    <sheetView tabSelected="1" zoomScaleNormal="100" workbookViewId="0">
      <selection activeCell="K17" sqref="K17"/>
    </sheetView>
  </sheetViews>
  <sheetFormatPr defaultRowHeight="14.25" x14ac:dyDescent="0.45"/>
  <cols>
    <col min="1" max="16384" width="9.06640625" style="5"/>
  </cols>
  <sheetData>
    <row r="3" spans="6:12" ht="23.25" x14ac:dyDescent="0.7">
      <c r="F3" s="4" t="s">
        <v>0</v>
      </c>
      <c r="G3" s="4"/>
      <c r="H3" s="4"/>
      <c r="I3" s="4"/>
      <c r="J3" s="4"/>
      <c r="K3" s="4"/>
    </row>
    <row r="6" spans="6:12" x14ac:dyDescent="0.45">
      <c r="F6" s="6" t="s">
        <v>1</v>
      </c>
      <c r="G6" s="6"/>
      <c r="H6" s="6"/>
      <c r="I6" s="6"/>
      <c r="J6" s="6"/>
      <c r="K6" s="6"/>
      <c r="L6" s="6"/>
    </row>
    <row r="7" spans="6:12" x14ac:dyDescent="0.45">
      <c r="F7" s="7" t="s">
        <v>2</v>
      </c>
      <c r="G7" s="7"/>
      <c r="H7" s="5">
        <v>1</v>
      </c>
      <c r="I7" s="8" t="s">
        <v>92</v>
      </c>
    </row>
    <row r="8" spans="6:12" x14ac:dyDescent="0.45">
      <c r="H8" s="5">
        <v>2</v>
      </c>
      <c r="I8" s="5" t="s">
        <v>93</v>
      </c>
    </row>
    <row r="9" spans="6:12" x14ac:dyDescent="0.45">
      <c r="H9" s="5">
        <v>3</v>
      </c>
      <c r="I9" s="5" t="s">
        <v>97</v>
      </c>
    </row>
    <row r="10" spans="6:12" x14ac:dyDescent="0.45">
      <c r="H10" s="5">
        <v>4</v>
      </c>
      <c r="I10" s="5" t="s">
        <v>98</v>
      </c>
    </row>
    <row r="11" spans="6:12" x14ac:dyDescent="0.45">
      <c r="H11" s="5">
        <v>5</v>
      </c>
      <c r="I11" s="5" t="s">
        <v>94</v>
      </c>
    </row>
    <row r="12" spans="6:12" x14ac:dyDescent="0.45">
      <c r="I12" s="5" t="s">
        <v>100</v>
      </c>
    </row>
  </sheetData>
  <mergeCells count="1">
    <mergeCell ref="F3:K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l.Issues">
                <anchor moveWithCells="1">
                  <from>
                    <xdr:col>5</xdr:col>
                    <xdr:colOff>28575</xdr:colOff>
                    <xdr:row>14</xdr:row>
                    <xdr:rowOff>128588</xdr:rowOff>
                  </from>
                  <to>
                    <xdr:col>7</xdr:col>
                    <xdr:colOff>271463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taEntry">
                <anchor moveWithCells="1">
                  <from>
                    <xdr:col>5</xdr:col>
                    <xdr:colOff>9525</xdr:colOff>
                    <xdr:row>17</xdr:row>
                    <xdr:rowOff>138113</xdr:rowOff>
                  </from>
                  <to>
                    <xdr:col>7</xdr:col>
                    <xdr:colOff>285750</xdr:colOff>
                    <xdr:row>19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aretoAnalysis">
                <anchor moveWithCells="1">
                  <from>
                    <xdr:col>5</xdr:col>
                    <xdr:colOff>9525</xdr:colOff>
                    <xdr:row>20</xdr:row>
                    <xdr:rowOff>119063</xdr:rowOff>
                  </from>
                  <to>
                    <xdr:col>7</xdr:col>
                    <xdr:colOff>271463</xdr:colOff>
                    <xdr:row>22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Histogram">
                <anchor moveWithCells="1">
                  <from>
                    <xdr:col>5</xdr:col>
                    <xdr:colOff>0</xdr:colOff>
                    <xdr:row>23</xdr:row>
                    <xdr:rowOff>57150</xdr:rowOff>
                  </from>
                  <to>
                    <xdr:col>7</xdr:col>
                    <xdr:colOff>242888</xdr:colOff>
                    <xdr:row>25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ullScreen">
                <anchor moveWithCells="1">
                  <from>
                    <xdr:col>4</xdr:col>
                    <xdr:colOff>633413</xdr:colOff>
                    <xdr:row>26</xdr:row>
                    <xdr:rowOff>33338</xdr:rowOff>
                  </from>
                  <to>
                    <xdr:col>7</xdr:col>
                    <xdr:colOff>242888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ndFullScreen">
                <anchor moveWithCells="1">
                  <from>
                    <xdr:col>4</xdr:col>
                    <xdr:colOff>642938</xdr:colOff>
                    <xdr:row>29</xdr:row>
                    <xdr:rowOff>38100</xdr:rowOff>
                  </from>
                  <to>
                    <xdr:col>7</xdr:col>
                    <xdr:colOff>252413</xdr:colOff>
                    <xdr:row>31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158D-5E03-482A-810F-565EDA74DC77}">
  <sheetPr codeName="Sheet2"/>
  <dimension ref="A1:I25"/>
  <sheetViews>
    <sheetView workbookViewId="0">
      <selection activeCell="G16" sqref="G16"/>
    </sheetView>
  </sheetViews>
  <sheetFormatPr defaultColWidth="12.1328125" defaultRowHeight="14.25" x14ac:dyDescent="0.45"/>
  <cols>
    <col min="1" max="5" width="12.1328125" style="5"/>
    <col min="6" max="6" width="19.9296875" style="5" bestFit="1" customWidth="1"/>
    <col min="7" max="16384" width="12.1328125" style="5"/>
  </cols>
  <sheetData>
    <row r="1" spans="1:9" x14ac:dyDescent="0.45">
      <c r="A1" s="5" t="s">
        <v>61</v>
      </c>
      <c r="D1" s="5" t="s">
        <v>62</v>
      </c>
      <c r="G1" s="9"/>
      <c r="H1" s="9"/>
      <c r="I1" s="9"/>
    </row>
    <row r="2" spans="1:9" x14ac:dyDescent="0.45">
      <c r="A2" s="5" t="s">
        <v>51</v>
      </c>
      <c r="D2" s="10" t="s">
        <v>3</v>
      </c>
      <c r="E2" s="10" t="s">
        <v>12</v>
      </c>
      <c r="F2" s="10" t="s">
        <v>13</v>
      </c>
      <c r="G2" s="11"/>
      <c r="H2" s="11"/>
      <c r="I2" s="11"/>
    </row>
    <row r="3" spans="1:9" x14ac:dyDescent="0.45">
      <c r="A3" s="5" t="s">
        <v>52</v>
      </c>
      <c r="D3" s="12" t="s">
        <v>4</v>
      </c>
      <c r="E3" s="12" t="s">
        <v>22</v>
      </c>
      <c r="F3" s="12" t="s">
        <v>14</v>
      </c>
      <c r="G3" s="11"/>
      <c r="H3" s="11"/>
      <c r="I3" s="11"/>
    </row>
    <row r="4" spans="1:9" x14ac:dyDescent="0.45">
      <c r="A4" s="5" t="s">
        <v>53</v>
      </c>
      <c r="D4" s="12" t="s">
        <v>5</v>
      </c>
      <c r="E4" s="12" t="s">
        <v>23</v>
      </c>
      <c r="F4" s="12" t="s">
        <v>15</v>
      </c>
      <c r="G4" s="11"/>
      <c r="H4" s="11"/>
      <c r="I4" s="11"/>
    </row>
    <row r="5" spans="1:9" x14ac:dyDescent="0.45">
      <c r="A5" s="5" t="s">
        <v>54</v>
      </c>
      <c r="D5" s="12" t="s">
        <v>6</v>
      </c>
      <c r="E5" s="12" t="s">
        <v>24</v>
      </c>
      <c r="F5" s="12" t="s">
        <v>16</v>
      </c>
      <c r="G5" s="11"/>
      <c r="H5" s="11"/>
      <c r="I5" s="11"/>
    </row>
    <row r="6" spans="1:9" x14ac:dyDescent="0.45">
      <c r="A6" s="5" t="s">
        <v>55</v>
      </c>
      <c r="D6" s="12" t="s">
        <v>7</v>
      </c>
      <c r="E6" s="12" t="s">
        <v>25</v>
      </c>
      <c r="F6" s="12" t="s">
        <v>17</v>
      </c>
      <c r="G6" s="11"/>
      <c r="H6" s="11"/>
      <c r="I6" s="11"/>
    </row>
    <row r="7" spans="1:9" x14ac:dyDescent="0.45">
      <c r="A7" s="5" t="s">
        <v>56</v>
      </c>
      <c r="D7" s="12" t="s">
        <v>8</v>
      </c>
      <c r="E7" s="12" t="s">
        <v>26</v>
      </c>
      <c r="F7" s="12" t="s">
        <v>18</v>
      </c>
      <c r="G7" s="11"/>
      <c r="H7" s="11"/>
      <c r="I7" s="11"/>
    </row>
    <row r="8" spans="1:9" x14ac:dyDescent="0.45">
      <c r="A8" s="5" t="s">
        <v>57</v>
      </c>
      <c r="D8" s="12" t="s">
        <v>9</v>
      </c>
      <c r="E8" s="12" t="s">
        <v>27</v>
      </c>
      <c r="F8" s="12" t="s">
        <v>19</v>
      </c>
      <c r="G8" s="11"/>
      <c r="H8" s="11"/>
      <c r="I8" s="11"/>
    </row>
    <row r="9" spans="1:9" x14ac:dyDescent="0.45">
      <c r="A9" s="5" t="s">
        <v>58</v>
      </c>
      <c r="D9" s="12" t="s">
        <v>10</v>
      </c>
      <c r="E9" s="12" t="s">
        <v>28</v>
      </c>
      <c r="F9" s="12" t="s">
        <v>20</v>
      </c>
      <c r="G9" s="11"/>
      <c r="H9" s="11"/>
      <c r="I9" s="11"/>
    </row>
    <row r="10" spans="1:9" x14ac:dyDescent="0.45">
      <c r="A10" s="5" t="s">
        <v>35</v>
      </c>
      <c r="D10" s="13" t="s">
        <v>11</v>
      </c>
      <c r="E10" s="13" t="s">
        <v>29</v>
      </c>
      <c r="F10" s="13" t="s">
        <v>21</v>
      </c>
    </row>
    <row r="11" spans="1:9" x14ac:dyDescent="0.45">
      <c r="A11" s="5" t="s">
        <v>36</v>
      </c>
    </row>
    <row r="12" spans="1:9" x14ac:dyDescent="0.45">
      <c r="A12" s="5" t="s">
        <v>37</v>
      </c>
    </row>
    <row r="13" spans="1:9" x14ac:dyDescent="0.45">
      <c r="A13" s="5" t="s">
        <v>38</v>
      </c>
    </row>
    <row r="14" spans="1:9" x14ac:dyDescent="0.45">
      <c r="A14" s="5" t="s">
        <v>39</v>
      </c>
    </row>
    <row r="15" spans="1:9" x14ac:dyDescent="0.45">
      <c r="A15" s="5" t="s">
        <v>40</v>
      </c>
    </row>
    <row r="16" spans="1:9" x14ac:dyDescent="0.45">
      <c r="A16" s="5" t="s">
        <v>41</v>
      </c>
    </row>
    <row r="17" spans="1:1" x14ac:dyDescent="0.45">
      <c r="A17" s="5" t="s">
        <v>42</v>
      </c>
    </row>
    <row r="18" spans="1:1" x14ac:dyDescent="0.45">
      <c r="A18" s="5" t="s">
        <v>43</v>
      </c>
    </row>
    <row r="19" spans="1:1" x14ac:dyDescent="0.45">
      <c r="A19" s="5" t="s">
        <v>44</v>
      </c>
    </row>
    <row r="20" spans="1:1" x14ac:dyDescent="0.45">
      <c r="A20" s="5" t="s">
        <v>45</v>
      </c>
    </row>
    <row r="21" spans="1:1" x14ac:dyDescent="0.45">
      <c r="A21" s="5" t="s">
        <v>46</v>
      </c>
    </row>
    <row r="22" spans="1:1" x14ac:dyDescent="0.45">
      <c r="A22" s="5" t="s">
        <v>47</v>
      </c>
    </row>
    <row r="23" spans="1:1" x14ac:dyDescent="0.45">
      <c r="A23" s="5" t="s">
        <v>48</v>
      </c>
    </row>
    <row r="24" spans="1:1" x14ac:dyDescent="0.45">
      <c r="A24" s="5" t="s">
        <v>49</v>
      </c>
    </row>
    <row r="25" spans="1:1" x14ac:dyDescent="0.45">
      <c r="A25" s="5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Welcome">
                <anchor moveWithCells="1">
                  <from>
                    <xdr:col>4</xdr:col>
                    <xdr:colOff>509588</xdr:colOff>
                    <xdr:row>12</xdr:row>
                    <xdr:rowOff>61913</xdr:rowOff>
                  </from>
                  <to>
                    <xdr:col>5</xdr:col>
                    <xdr:colOff>1219200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aEntry">
                <anchor moveWithCells="1">
                  <from>
                    <xdr:col>4</xdr:col>
                    <xdr:colOff>504825</xdr:colOff>
                    <xdr:row>15</xdr:row>
                    <xdr:rowOff>71438</xdr:rowOff>
                  </from>
                  <to>
                    <xdr:col>5</xdr:col>
                    <xdr:colOff>1209675</xdr:colOff>
                    <xdr:row>17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ParetoAnalysis">
                <anchor moveWithCells="1">
                  <from>
                    <xdr:col>4</xdr:col>
                    <xdr:colOff>504825</xdr:colOff>
                    <xdr:row>18</xdr:row>
                    <xdr:rowOff>52388</xdr:rowOff>
                  </from>
                  <to>
                    <xdr:col>5</xdr:col>
                    <xdr:colOff>1195388</xdr:colOff>
                    <xdr:row>20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Histogram">
                <anchor moveWithCells="1">
                  <from>
                    <xdr:col>4</xdr:col>
                    <xdr:colOff>495300</xdr:colOff>
                    <xdr:row>20</xdr:row>
                    <xdr:rowOff>171450</xdr:rowOff>
                  </from>
                  <to>
                    <xdr:col>5</xdr:col>
                    <xdr:colOff>1166813</xdr:colOff>
                    <xdr:row>22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B6364-8E46-4BE4-82DC-9F7C31742B36}">
  <sheetPr codeName="Sheet3"/>
  <dimension ref="B1:Q24"/>
  <sheetViews>
    <sheetView topLeftCell="B1" workbookViewId="0">
      <selection activeCell="K16" sqref="K16"/>
    </sheetView>
  </sheetViews>
  <sheetFormatPr defaultRowHeight="14.25" x14ac:dyDescent="0.45"/>
  <cols>
    <col min="1" max="1" width="0" style="5" hidden="1" customWidth="1"/>
    <col min="2" max="2" width="6.73046875" style="34" bestFit="1" customWidth="1"/>
    <col min="3" max="3" width="11.9296875" style="34" bestFit="1" customWidth="1"/>
    <col min="4" max="4" width="13.9296875" style="34" bestFit="1" customWidth="1"/>
    <col min="5" max="5" width="11.9296875" style="29" bestFit="1" customWidth="1"/>
    <col min="6" max="6" width="10.9296875" style="34" bestFit="1" customWidth="1"/>
    <col min="7" max="7" width="9.06640625" style="5"/>
    <col min="8" max="9" width="11.46484375" style="5" bestFit="1" customWidth="1"/>
    <col min="10" max="10" width="19.9296875" style="5" bestFit="1" customWidth="1"/>
    <col min="11" max="16384" width="9.06640625" style="5"/>
  </cols>
  <sheetData>
    <row r="1" spans="2:10" x14ac:dyDescent="0.45">
      <c r="B1" s="18"/>
      <c r="C1" s="18"/>
      <c r="D1" s="18"/>
      <c r="E1" s="18"/>
      <c r="F1" s="18"/>
    </row>
    <row r="2" spans="2:10" x14ac:dyDescent="0.45">
      <c r="B2" s="32" t="s">
        <v>30</v>
      </c>
      <c r="C2" s="32" t="s">
        <v>31</v>
      </c>
      <c r="D2" s="32" t="s">
        <v>32</v>
      </c>
      <c r="E2" s="33" t="s">
        <v>33</v>
      </c>
      <c r="F2" s="32" t="s">
        <v>34</v>
      </c>
      <c r="H2" s="10" t="s">
        <v>3</v>
      </c>
      <c r="I2" s="10" t="s">
        <v>12</v>
      </c>
      <c r="J2" s="10" t="s">
        <v>13</v>
      </c>
    </row>
    <row r="3" spans="2:10" x14ac:dyDescent="0.45">
      <c r="B3" s="34">
        <v>2</v>
      </c>
      <c r="C3" s="34">
        <v>1</v>
      </c>
      <c r="D3" s="34">
        <v>11</v>
      </c>
      <c r="E3" s="29">
        <v>22</v>
      </c>
      <c r="F3" s="34" t="s">
        <v>63</v>
      </c>
      <c r="H3" s="12" t="s">
        <v>4</v>
      </c>
      <c r="I3" s="12" t="s">
        <v>22</v>
      </c>
      <c r="J3" s="12" t="s">
        <v>14</v>
      </c>
    </row>
    <row r="4" spans="2:10" x14ac:dyDescent="0.45">
      <c r="B4" s="34">
        <v>8</v>
      </c>
      <c r="C4" s="34">
        <v>7</v>
      </c>
      <c r="D4" s="34">
        <v>10</v>
      </c>
      <c r="E4" s="29">
        <v>5</v>
      </c>
      <c r="F4" s="34" t="s">
        <v>63</v>
      </c>
      <c r="H4" s="12" t="s">
        <v>5</v>
      </c>
      <c r="I4" s="12" t="s">
        <v>23</v>
      </c>
      <c r="J4" s="12" t="s">
        <v>15</v>
      </c>
    </row>
    <row r="5" spans="2:10" x14ac:dyDescent="0.45">
      <c r="B5" s="34">
        <v>6</v>
      </c>
      <c r="C5" s="34">
        <v>10</v>
      </c>
      <c r="D5" s="34">
        <v>11</v>
      </c>
      <c r="E5" s="29">
        <v>12</v>
      </c>
      <c r="F5" s="34" t="s">
        <v>60</v>
      </c>
      <c r="H5" s="12" t="s">
        <v>6</v>
      </c>
      <c r="I5" s="12" t="s">
        <v>24</v>
      </c>
      <c r="J5" s="12" t="s">
        <v>16</v>
      </c>
    </row>
    <row r="6" spans="2:10" x14ac:dyDescent="0.45">
      <c r="B6" s="34">
        <v>13</v>
      </c>
      <c r="C6" s="34">
        <v>10</v>
      </c>
      <c r="D6" s="34">
        <v>11</v>
      </c>
      <c r="E6" s="29">
        <v>12</v>
      </c>
      <c r="F6" s="34" t="s">
        <v>60</v>
      </c>
      <c r="H6" s="12" t="s">
        <v>7</v>
      </c>
      <c r="I6" s="12" t="s">
        <v>25</v>
      </c>
      <c r="J6" s="12" t="s">
        <v>17</v>
      </c>
    </row>
    <row r="7" spans="2:10" x14ac:dyDescent="0.45">
      <c r="B7" s="34">
        <v>1</v>
      </c>
      <c r="C7" s="34">
        <v>12</v>
      </c>
      <c r="D7" s="34">
        <v>10</v>
      </c>
      <c r="E7" s="29">
        <v>37</v>
      </c>
      <c r="F7" s="34" t="s">
        <v>60</v>
      </c>
      <c r="H7" s="12" t="s">
        <v>8</v>
      </c>
      <c r="I7" s="12" t="s">
        <v>26</v>
      </c>
      <c r="J7" s="12" t="s">
        <v>18</v>
      </c>
    </row>
    <row r="8" spans="2:10" x14ac:dyDescent="0.45">
      <c r="B8" s="34">
        <v>99</v>
      </c>
      <c r="C8" s="34">
        <v>12</v>
      </c>
      <c r="D8" s="34">
        <v>15</v>
      </c>
      <c r="E8" s="29">
        <v>14</v>
      </c>
      <c r="F8" s="34" t="s">
        <v>59</v>
      </c>
      <c r="H8" s="12" t="s">
        <v>9</v>
      </c>
      <c r="I8" s="12" t="s">
        <v>27</v>
      </c>
      <c r="J8" s="12" t="s">
        <v>19</v>
      </c>
    </row>
    <row r="9" spans="2:10" x14ac:dyDescent="0.45">
      <c r="B9" s="34">
        <v>3</v>
      </c>
      <c r="C9" s="34">
        <v>12</v>
      </c>
      <c r="D9" s="34">
        <v>16</v>
      </c>
      <c r="E9" s="29">
        <v>10</v>
      </c>
      <c r="F9" s="34" t="s">
        <v>59</v>
      </c>
      <c r="H9" s="12" t="s">
        <v>10</v>
      </c>
      <c r="I9" s="12" t="s">
        <v>28</v>
      </c>
      <c r="J9" s="12" t="s">
        <v>20</v>
      </c>
    </row>
    <row r="10" spans="2:10" x14ac:dyDescent="0.45">
      <c r="B10" s="34">
        <v>111</v>
      </c>
      <c r="C10" s="34">
        <v>14</v>
      </c>
      <c r="D10" s="34">
        <v>11</v>
      </c>
      <c r="E10" s="29">
        <v>15</v>
      </c>
      <c r="F10" s="34" t="s">
        <v>95</v>
      </c>
      <c r="H10" s="13" t="s">
        <v>11</v>
      </c>
      <c r="I10" s="13" t="s">
        <v>29</v>
      </c>
      <c r="J10" s="13" t="s">
        <v>21</v>
      </c>
    </row>
    <row r="11" spans="2:10" x14ac:dyDescent="0.45">
      <c r="B11" s="34">
        <v>8</v>
      </c>
      <c r="C11" s="34">
        <v>16</v>
      </c>
      <c r="D11" s="34">
        <v>13</v>
      </c>
      <c r="E11" s="29">
        <v>14</v>
      </c>
      <c r="F11" s="34" t="s">
        <v>59</v>
      </c>
    </row>
    <row r="12" spans="2:10" x14ac:dyDescent="0.45">
      <c r="B12" s="34">
        <v>33</v>
      </c>
      <c r="C12" s="34">
        <v>30</v>
      </c>
      <c r="D12" s="34">
        <v>34</v>
      </c>
      <c r="E12" s="29">
        <v>22</v>
      </c>
      <c r="F12" s="34" t="s">
        <v>63</v>
      </c>
    </row>
    <row r="13" spans="2:10" x14ac:dyDescent="0.45">
      <c r="B13" s="34">
        <v>88</v>
      </c>
      <c r="C13" s="34">
        <v>31</v>
      </c>
      <c r="D13" s="34">
        <v>32</v>
      </c>
      <c r="E13" s="29">
        <v>34</v>
      </c>
      <c r="F13" s="34" t="s">
        <v>60</v>
      </c>
    </row>
    <row r="14" spans="2:10" x14ac:dyDescent="0.45">
      <c r="B14" s="34">
        <v>99</v>
      </c>
      <c r="C14" s="34">
        <v>35</v>
      </c>
      <c r="D14" s="34">
        <v>13</v>
      </c>
      <c r="E14" s="29">
        <v>16</v>
      </c>
      <c r="F14" s="34" t="s">
        <v>99</v>
      </c>
    </row>
    <row r="15" spans="2:10" x14ac:dyDescent="0.45">
      <c r="B15" s="34">
        <v>96</v>
      </c>
      <c r="C15" s="34">
        <v>35</v>
      </c>
      <c r="D15" s="34">
        <v>36</v>
      </c>
      <c r="E15" s="29">
        <v>37</v>
      </c>
      <c r="F15" s="34" t="s">
        <v>96</v>
      </c>
    </row>
    <row r="19" spans="12:17" ht="14.65" thickBot="1" x14ac:dyDescent="0.5"/>
    <row r="20" spans="12:17" x14ac:dyDescent="0.45">
      <c r="L20" s="14" t="s">
        <v>90</v>
      </c>
      <c r="M20" s="15"/>
      <c r="N20" s="15"/>
      <c r="O20" s="15"/>
      <c r="P20" s="15"/>
      <c r="Q20" s="16"/>
    </row>
    <row r="21" spans="12:17" x14ac:dyDescent="0.45">
      <c r="L21" s="17" t="s">
        <v>76</v>
      </c>
      <c r="M21" s="18" t="s">
        <v>91</v>
      </c>
      <c r="N21" s="19" t="s">
        <v>69</v>
      </c>
      <c r="O21" s="18" t="s">
        <v>91</v>
      </c>
      <c r="P21" s="19" t="s">
        <v>70</v>
      </c>
      <c r="Q21" s="20" t="s">
        <v>91</v>
      </c>
    </row>
    <row r="22" spans="12:17" x14ac:dyDescent="0.45">
      <c r="L22" s="17" cm="1">
        <f t="array" ref="L22:L24">'Pareto Analysis'!A3:A5</f>
        <v>12</v>
      </c>
      <c r="M22" s="18" cm="1">
        <f t="array" ref="M22:M24">'Pareto Analysis'!B3:B5</f>
        <v>3</v>
      </c>
      <c r="N22" s="19" cm="1">
        <f t="array" ref="N22:N24">'Pareto Analysis'!F3:F5</f>
        <v>11</v>
      </c>
      <c r="O22" s="18" cm="1">
        <f t="array" ref="O22:O24">'Pareto Analysis'!G3:G5</f>
        <v>4</v>
      </c>
      <c r="P22" s="19" cm="1">
        <f t="array" ref="P22:P24">'Pareto Analysis'!K3:K5</f>
        <v>12</v>
      </c>
      <c r="Q22" s="21" cm="1">
        <f t="array" ref="Q22:Q24">'Pareto Analysis'!L3:L5</f>
        <v>2</v>
      </c>
    </row>
    <row r="23" spans="12:17" x14ac:dyDescent="0.45">
      <c r="L23" s="17">
        <v>10</v>
      </c>
      <c r="M23" s="18">
        <v>2</v>
      </c>
      <c r="N23" s="19">
        <v>10</v>
      </c>
      <c r="O23" s="18">
        <v>2</v>
      </c>
      <c r="P23" s="19">
        <v>14</v>
      </c>
      <c r="Q23" s="21">
        <v>2</v>
      </c>
    </row>
    <row r="24" spans="12:17" ht="14.65" thickBot="1" x14ac:dyDescent="0.5">
      <c r="L24" s="22">
        <v>35</v>
      </c>
      <c r="M24" s="23">
        <v>2</v>
      </c>
      <c r="N24" s="24">
        <v>13</v>
      </c>
      <c r="O24" s="23">
        <v>2</v>
      </c>
      <c r="P24" s="24">
        <v>22</v>
      </c>
      <c r="Q24" s="25">
        <v>2</v>
      </c>
    </row>
  </sheetData>
  <sortState xmlns:xlrd2="http://schemas.microsoft.com/office/spreadsheetml/2017/richdata2" ref="B3:F15">
    <sortCondition ref="C3:C15"/>
    <sortCondition ref="D3:D15"/>
    <sortCondition ref="E3:E15"/>
  </sortState>
  <mergeCells count="1">
    <mergeCell ref="L20:Q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UserForm">
                <anchor moveWithCells="1">
                  <from>
                    <xdr:col>11</xdr:col>
                    <xdr:colOff>19050</xdr:colOff>
                    <xdr:row>0</xdr:row>
                    <xdr:rowOff>157163</xdr:rowOff>
                  </from>
                  <to>
                    <xdr:col>15</xdr:col>
                    <xdr:colOff>276225</xdr:colOff>
                    <xdr:row>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owUserForm2">
                <anchor moveWithCells="1">
                  <from>
                    <xdr:col>11</xdr:col>
                    <xdr:colOff>14288</xdr:colOff>
                    <xdr:row>4</xdr:row>
                    <xdr:rowOff>142875</xdr:rowOff>
                  </from>
                  <to>
                    <xdr:col>15</xdr:col>
                    <xdr:colOff>285750</xdr:colOff>
                    <xdr:row>8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owUserForm3">
                <anchor moveWithCells="1">
                  <from>
                    <xdr:col>11</xdr:col>
                    <xdr:colOff>9525</xdr:colOff>
                    <xdr:row>9</xdr:row>
                    <xdr:rowOff>14288</xdr:rowOff>
                  </from>
                  <to>
                    <xdr:col>15</xdr:col>
                    <xdr:colOff>295275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Pareto">
                <anchor moveWithCells="1">
                  <from>
                    <xdr:col>11</xdr:col>
                    <xdr:colOff>0</xdr:colOff>
                    <xdr:row>13</xdr:row>
                    <xdr:rowOff>90488</xdr:rowOff>
                  </from>
                  <to>
                    <xdr:col>15</xdr:col>
                    <xdr:colOff>304800</xdr:colOff>
                    <xdr:row>17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General.Issues">
                <anchor moveWithCells="1">
                  <from>
                    <xdr:col>7</xdr:col>
                    <xdr:colOff>285750</xdr:colOff>
                    <xdr:row>13</xdr:row>
                    <xdr:rowOff>61913</xdr:rowOff>
                  </from>
                  <to>
                    <xdr:col>9</xdr:col>
                    <xdr:colOff>185738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Welcome">
                <anchor moveWithCells="1">
                  <from>
                    <xdr:col>7</xdr:col>
                    <xdr:colOff>266700</xdr:colOff>
                    <xdr:row>16</xdr:row>
                    <xdr:rowOff>71438</xdr:rowOff>
                  </from>
                  <to>
                    <xdr:col>9</xdr:col>
                    <xdr:colOff>200025</xdr:colOff>
                    <xdr:row>18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ParetoAnalysis">
                <anchor moveWithCells="1">
                  <from>
                    <xdr:col>7</xdr:col>
                    <xdr:colOff>266700</xdr:colOff>
                    <xdr:row>19</xdr:row>
                    <xdr:rowOff>52388</xdr:rowOff>
                  </from>
                  <to>
                    <xdr:col>9</xdr:col>
                    <xdr:colOff>185738</xdr:colOff>
                    <xdr:row>21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Histogram">
                <anchor moveWithCells="1">
                  <from>
                    <xdr:col>7</xdr:col>
                    <xdr:colOff>257175</xdr:colOff>
                    <xdr:row>21</xdr:row>
                    <xdr:rowOff>171450</xdr:rowOff>
                  </from>
                  <to>
                    <xdr:col>9</xdr:col>
                    <xdr:colOff>157163</xdr:colOff>
                    <xdr:row>23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8E2F-8D51-4BD8-ACBD-68F410CC527F}">
  <sheetPr codeName="Sheet6"/>
  <dimension ref="A1:AO11"/>
  <sheetViews>
    <sheetView topLeftCell="M1" workbookViewId="0">
      <selection activeCell="N2" sqref="N2"/>
    </sheetView>
  </sheetViews>
  <sheetFormatPr defaultRowHeight="14.25" x14ac:dyDescent="0.45"/>
  <cols>
    <col min="1" max="1" width="14.33203125" style="29" bestFit="1" customWidth="1"/>
    <col min="2" max="2" width="15.796875" style="29" bestFit="1" customWidth="1"/>
    <col min="3" max="3" width="14.73046875" style="30" bestFit="1" customWidth="1"/>
    <col min="4" max="4" width="18.33203125" style="31" bestFit="1" customWidth="1"/>
    <col min="5" max="5" width="9.06640625" style="1"/>
    <col min="6" max="6" width="14.33203125" style="29" bestFit="1" customWidth="1"/>
    <col min="7" max="7" width="15.1328125" style="29" bestFit="1" customWidth="1"/>
    <col min="8" max="8" width="14.73046875" style="30" bestFit="1" customWidth="1"/>
    <col min="9" max="9" width="18.33203125" style="31" bestFit="1" customWidth="1"/>
    <col min="10" max="10" width="9.06640625" style="1"/>
    <col min="11" max="11" width="14.33203125" style="29" bestFit="1" customWidth="1"/>
    <col min="12" max="12" width="15.1328125" style="29" bestFit="1" customWidth="1"/>
    <col min="13" max="13" width="14.73046875" style="30" bestFit="1" customWidth="1"/>
    <col min="14" max="14" width="18.33203125" style="31" bestFit="1" customWidth="1"/>
    <col min="15" max="41" width="9.06640625" style="5"/>
  </cols>
  <sheetData>
    <row r="1" spans="1:14" x14ac:dyDescent="0.45">
      <c r="A1" s="26" t="s">
        <v>68</v>
      </c>
      <c r="B1" s="27"/>
      <c r="C1" s="27"/>
      <c r="D1" s="28"/>
      <c r="F1" s="26" t="s">
        <v>71</v>
      </c>
      <c r="G1" s="27"/>
      <c r="H1" s="27"/>
      <c r="I1" s="28"/>
      <c r="K1" s="26" t="s">
        <v>72</v>
      </c>
      <c r="L1" s="27"/>
      <c r="M1" s="27"/>
      <c r="N1" s="28"/>
    </row>
    <row r="2" spans="1:14" x14ac:dyDescent="0.45">
      <c r="A2" s="29" t="s">
        <v>64</v>
      </c>
      <c r="B2" s="29" t="s">
        <v>65</v>
      </c>
      <c r="C2" s="30" t="s">
        <v>66</v>
      </c>
      <c r="D2" s="31" t="s">
        <v>67</v>
      </c>
      <c r="F2" s="29" t="s">
        <v>64</v>
      </c>
      <c r="G2" s="29" t="s">
        <v>65</v>
      </c>
      <c r="H2" s="30" t="s">
        <v>66</v>
      </c>
      <c r="I2" s="31" t="s">
        <v>67</v>
      </c>
      <c r="K2" s="29" t="s">
        <v>64</v>
      </c>
      <c r="L2" s="29" t="s">
        <v>65</v>
      </c>
      <c r="M2" s="30" t="s">
        <v>66</v>
      </c>
      <c r="N2" s="31" t="s">
        <v>67</v>
      </c>
    </row>
    <row r="3" spans="1:14" x14ac:dyDescent="0.45">
      <c r="A3" s="29">
        <v>12</v>
      </c>
      <c r="B3" s="29">
        <v>3</v>
      </c>
      <c r="C3" s="30">
        <v>0.23076923076923078</v>
      </c>
      <c r="D3" s="31">
        <f>SUM($C$3:C3)</f>
        <v>0.23076923076923078</v>
      </c>
      <c r="F3" s="29">
        <v>11</v>
      </c>
      <c r="G3" s="29">
        <v>4</v>
      </c>
      <c r="H3" s="30">
        <v>0.30769230769230771</v>
      </c>
      <c r="I3" s="31">
        <f>SUM($H$3:H3)</f>
        <v>0.30769230769230771</v>
      </c>
      <c r="K3" s="29">
        <v>12</v>
      </c>
      <c r="L3" s="29">
        <v>2</v>
      </c>
      <c r="M3" s="30">
        <v>0.15384615384615385</v>
      </c>
      <c r="N3" s="31">
        <f>SUM($M$3:M3)</f>
        <v>0.15384615384615385</v>
      </c>
    </row>
    <row r="4" spans="1:14" x14ac:dyDescent="0.45">
      <c r="A4" s="29">
        <v>10</v>
      </c>
      <c r="B4" s="29">
        <v>2</v>
      </c>
      <c r="C4" s="30">
        <v>0.15384615384615385</v>
      </c>
      <c r="D4" s="31">
        <f>SUM($C$3:C4)</f>
        <v>0.38461538461538464</v>
      </c>
      <c r="F4" s="29">
        <v>10</v>
      </c>
      <c r="G4" s="29">
        <v>2</v>
      </c>
      <c r="H4" s="30">
        <v>0.15384615384615385</v>
      </c>
      <c r="I4" s="31">
        <f>SUM($H$3:H4)</f>
        <v>0.46153846153846156</v>
      </c>
      <c r="K4" s="29">
        <v>14</v>
      </c>
      <c r="L4" s="29">
        <v>2</v>
      </c>
      <c r="M4" s="30">
        <v>0.15384615384615385</v>
      </c>
      <c r="N4" s="31">
        <f>SUM($M$3:M4)</f>
        <v>0.30769230769230771</v>
      </c>
    </row>
    <row r="5" spans="1:14" x14ac:dyDescent="0.45">
      <c r="A5" s="29">
        <v>35</v>
      </c>
      <c r="B5" s="29">
        <v>2</v>
      </c>
      <c r="C5" s="30">
        <v>0.15384615384615385</v>
      </c>
      <c r="D5" s="31">
        <f>SUM($C$3:C5)</f>
        <v>0.53846153846153855</v>
      </c>
      <c r="F5" s="29">
        <v>13</v>
      </c>
      <c r="G5" s="29">
        <v>2</v>
      </c>
      <c r="H5" s="30">
        <v>0.15384615384615385</v>
      </c>
      <c r="I5" s="31">
        <f>SUM($H$3:H5)</f>
        <v>0.61538461538461542</v>
      </c>
      <c r="K5" s="29">
        <v>22</v>
      </c>
      <c r="L5" s="29">
        <v>2</v>
      </c>
      <c r="M5" s="30">
        <v>0.15384615384615385</v>
      </c>
      <c r="N5" s="31">
        <f>SUM($M$3:M5)</f>
        <v>0.46153846153846156</v>
      </c>
    </row>
    <row r="6" spans="1:14" x14ac:dyDescent="0.45">
      <c r="A6" s="29">
        <v>1</v>
      </c>
      <c r="B6" s="29">
        <v>1</v>
      </c>
      <c r="C6" s="30">
        <v>7.6923076923076927E-2</v>
      </c>
      <c r="D6" s="31">
        <f>SUM($C$3:C6)</f>
        <v>0.61538461538461542</v>
      </c>
      <c r="F6" s="29">
        <v>15</v>
      </c>
      <c r="G6" s="29">
        <v>1</v>
      </c>
      <c r="H6" s="30">
        <v>7.6923076923076927E-2</v>
      </c>
      <c r="I6" s="31">
        <f>SUM($H$3:H6)</f>
        <v>0.69230769230769229</v>
      </c>
      <c r="K6" s="29">
        <v>37</v>
      </c>
      <c r="L6" s="29">
        <v>2</v>
      </c>
      <c r="M6" s="30">
        <v>0.15384615384615385</v>
      </c>
      <c r="N6" s="31">
        <f>SUM($M$3:M6)</f>
        <v>0.61538461538461542</v>
      </c>
    </row>
    <row r="7" spans="1:14" x14ac:dyDescent="0.45">
      <c r="A7" s="29">
        <v>7</v>
      </c>
      <c r="B7" s="29">
        <v>1</v>
      </c>
      <c r="C7" s="30">
        <v>7.6923076923076927E-2</v>
      </c>
      <c r="D7" s="31">
        <f>SUM($C$3:C7)</f>
        <v>0.69230769230769229</v>
      </c>
      <c r="F7" s="29">
        <v>16</v>
      </c>
      <c r="G7" s="29">
        <v>1</v>
      </c>
      <c r="H7" s="30">
        <v>7.6923076923076927E-2</v>
      </c>
      <c r="I7" s="31">
        <f>SUM($H$3:H7)</f>
        <v>0.76923076923076916</v>
      </c>
      <c r="K7" s="29">
        <v>5</v>
      </c>
      <c r="L7" s="29">
        <v>1</v>
      </c>
      <c r="M7" s="30">
        <v>7.6923076923076927E-2</v>
      </c>
      <c r="N7" s="31">
        <f>SUM($M$3:M7)</f>
        <v>0.69230769230769229</v>
      </c>
    </row>
    <row r="8" spans="1:14" x14ac:dyDescent="0.45">
      <c r="A8" s="29">
        <v>14</v>
      </c>
      <c r="B8" s="29">
        <v>1</v>
      </c>
      <c r="C8" s="30">
        <v>7.6923076923076927E-2</v>
      </c>
      <c r="D8" s="31">
        <f>SUM($C$3:C8)</f>
        <v>0.76923076923076916</v>
      </c>
      <c r="F8" s="29">
        <v>34</v>
      </c>
      <c r="G8" s="29">
        <v>1</v>
      </c>
      <c r="H8" s="30">
        <v>7.6923076923076927E-2</v>
      </c>
      <c r="I8" s="31">
        <f>SUM($H$3:H8)</f>
        <v>0.84615384615384603</v>
      </c>
      <c r="K8" s="29">
        <v>10</v>
      </c>
      <c r="L8" s="29">
        <v>1</v>
      </c>
      <c r="M8" s="30">
        <v>7.6923076923076927E-2</v>
      </c>
      <c r="N8" s="31">
        <f>SUM($M$3:M8)</f>
        <v>0.76923076923076916</v>
      </c>
    </row>
    <row r="9" spans="1:14" x14ac:dyDescent="0.45">
      <c r="A9" s="29">
        <v>16</v>
      </c>
      <c r="B9" s="29">
        <v>1</v>
      </c>
      <c r="C9" s="30">
        <v>7.6923076923076927E-2</v>
      </c>
      <c r="D9" s="31">
        <f>SUM($C$3:C9)</f>
        <v>0.84615384615384603</v>
      </c>
      <c r="F9" s="29">
        <v>32</v>
      </c>
      <c r="G9" s="29">
        <v>1</v>
      </c>
      <c r="H9" s="30">
        <v>7.6923076923076927E-2</v>
      </c>
      <c r="I9" s="31">
        <f>SUM($H$3:H9)</f>
        <v>0.92307692307692291</v>
      </c>
      <c r="K9" s="29">
        <v>15</v>
      </c>
      <c r="L9" s="29">
        <v>1</v>
      </c>
      <c r="M9" s="30">
        <v>7.6923076923076927E-2</v>
      </c>
      <c r="N9" s="31">
        <f>SUM($M$3:M9)</f>
        <v>0.84615384615384603</v>
      </c>
    </row>
    <row r="10" spans="1:14" x14ac:dyDescent="0.45">
      <c r="A10" s="29">
        <v>30</v>
      </c>
      <c r="B10" s="29">
        <v>1</v>
      </c>
      <c r="C10" s="30">
        <v>7.6923076923076927E-2</v>
      </c>
      <c r="D10" s="31">
        <f>SUM($C$3:C10)</f>
        <v>0.92307692307692291</v>
      </c>
      <c r="F10" s="29">
        <v>36</v>
      </c>
      <c r="G10" s="29">
        <v>1</v>
      </c>
      <c r="H10" s="30">
        <v>7.6923076923076927E-2</v>
      </c>
      <c r="I10" s="31">
        <f>SUM($H$3:H10)</f>
        <v>0.99999999999999978</v>
      </c>
      <c r="K10" s="29">
        <v>34</v>
      </c>
      <c r="L10" s="29">
        <v>1</v>
      </c>
      <c r="M10" s="30">
        <v>7.6923076923076927E-2</v>
      </c>
      <c r="N10" s="31">
        <f>SUM($M$3:M10)</f>
        <v>0.92307692307692291</v>
      </c>
    </row>
    <row r="11" spans="1:14" x14ac:dyDescent="0.45">
      <c r="A11" s="29">
        <v>31</v>
      </c>
      <c r="B11" s="29">
        <v>1</v>
      </c>
      <c r="C11" s="30">
        <v>7.6923076923076927E-2</v>
      </c>
      <c r="D11" s="31">
        <f>SUM($C$3:C11)</f>
        <v>0.99999999999999978</v>
      </c>
      <c r="K11" s="29">
        <v>16</v>
      </c>
      <c r="L11" s="29">
        <v>1</v>
      </c>
      <c r="M11" s="30">
        <v>7.6923076923076927E-2</v>
      </c>
      <c r="N11" s="31">
        <f>SUM($M$3:M11)</f>
        <v>0.99999999999999978</v>
      </c>
    </row>
  </sheetData>
  <sortState xmlns:xlrd2="http://schemas.microsoft.com/office/spreadsheetml/2017/richdata2" ref="K2:N1048576">
    <sortCondition descending="1" ref="M1:M1048576"/>
  </sortState>
  <mergeCells count="3">
    <mergeCell ref="A1:D1"/>
    <mergeCell ref="F1:I1"/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Welcome">
                <anchor moveWithCells="1">
                  <from>
                    <xdr:col>15</xdr:col>
                    <xdr:colOff>61913</xdr:colOff>
                    <xdr:row>1</xdr:row>
                    <xdr:rowOff>61913</xdr:rowOff>
                  </from>
                  <to>
                    <xdr:col>17</xdr:col>
                    <xdr:colOff>304800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DataEntry">
                <anchor moveWithCells="1">
                  <from>
                    <xdr:col>15</xdr:col>
                    <xdr:colOff>42863</xdr:colOff>
                    <xdr:row>4</xdr:row>
                    <xdr:rowOff>71438</xdr:rowOff>
                  </from>
                  <to>
                    <xdr:col>17</xdr:col>
                    <xdr:colOff>319088</xdr:colOff>
                    <xdr:row>6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defaultSize="0" print="0" autoFill="0" autoPict="0" macro="[0]!General.Issues">
                <anchor moveWithCells="1">
                  <from>
                    <xdr:col>15</xdr:col>
                    <xdr:colOff>42863</xdr:colOff>
                    <xdr:row>7</xdr:row>
                    <xdr:rowOff>52388</xdr:rowOff>
                  </from>
                  <to>
                    <xdr:col>17</xdr:col>
                    <xdr:colOff>304800</xdr:colOff>
                    <xdr:row>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defaultSize="0" print="0" autoFill="0" autoPict="0" macro="Histogram">
                <anchor moveWithCells="1">
                  <from>
                    <xdr:col>15</xdr:col>
                    <xdr:colOff>33338</xdr:colOff>
                    <xdr:row>9</xdr:row>
                    <xdr:rowOff>171450</xdr:rowOff>
                  </from>
                  <to>
                    <xdr:col>17</xdr:col>
                    <xdr:colOff>276225</xdr:colOff>
                    <xdr:row>11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B51ED-F292-4FF4-8779-400CC2A793EF}">
  <sheetPr codeName="Sheet7"/>
  <dimension ref="A1:G51"/>
  <sheetViews>
    <sheetView topLeftCell="B1" zoomScale="109" zoomScaleNormal="109" workbookViewId="0">
      <selection activeCell="F31" sqref="F31"/>
    </sheetView>
  </sheetViews>
  <sheetFormatPr defaultRowHeight="14.25" x14ac:dyDescent="0.45"/>
  <cols>
    <col min="1" max="1" width="12.59765625" style="35" bestFit="1" customWidth="1"/>
    <col min="2" max="4" width="9.06640625" style="35"/>
    <col min="5" max="16384" width="9.06640625" style="5"/>
  </cols>
  <sheetData>
    <row r="1" spans="1:7" x14ac:dyDescent="0.45">
      <c r="B1" s="35" t="s">
        <v>76</v>
      </c>
      <c r="C1" s="35" t="s">
        <v>69</v>
      </c>
      <c r="D1" s="35" t="s">
        <v>70</v>
      </c>
    </row>
    <row r="2" spans="1:7" x14ac:dyDescent="0.45">
      <c r="A2" s="35" t="s">
        <v>73</v>
      </c>
      <c r="B2" s="35">
        <v>6</v>
      </c>
      <c r="C2" s="35">
        <v>6</v>
      </c>
      <c r="D2" s="35">
        <v>6</v>
      </c>
    </row>
    <row r="3" spans="1:7" x14ac:dyDescent="0.45">
      <c r="A3" s="35" t="s">
        <v>74</v>
      </c>
      <c r="B3" s="35">
        <f>(MAX('Pareto Analysis'!B:B)-MIN('Pareto Analysis'!B:B))/B2</f>
        <v>0.33333333333333331</v>
      </c>
      <c r="C3" s="35">
        <f>(MAX('Pareto Analysis'!G:G)-MIN('Pareto Analysis'!G:G))/C2</f>
        <v>0.5</v>
      </c>
      <c r="D3" s="35">
        <f>(MAX('Pareto Analysis'!L:L)-MIN('Pareto Analysis'!L:L))/D2</f>
        <v>0.16666666666666666</v>
      </c>
    </row>
    <row r="4" spans="1:7" x14ac:dyDescent="0.45">
      <c r="A4" s="35" t="s">
        <v>75</v>
      </c>
      <c r="B4" s="35">
        <f>MIN('Pareto Analysis'!B:B)</f>
        <v>1</v>
      </c>
      <c r="C4" s="35">
        <f>MIN('Pareto Analysis'!G:G)</f>
        <v>1</v>
      </c>
      <c r="D4" s="35">
        <f>MIN('Pareto Analysis'!L:L)</f>
        <v>1</v>
      </c>
    </row>
    <row r="5" spans="1:7" x14ac:dyDescent="0.45">
      <c r="E5" s="3" t="s">
        <v>88</v>
      </c>
      <c r="F5" s="3"/>
      <c r="G5" s="3"/>
    </row>
    <row r="6" spans="1:7" x14ac:dyDescent="0.45">
      <c r="A6" s="36" t="s">
        <v>76</v>
      </c>
      <c r="B6" s="36"/>
      <c r="C6" s="36"/>
      <c r="E6" s="2" t="s">
        <v>86</v>
      </c>
      <c r="F6" s="2"/>
      <c r="G6" s="2"/>
    </row>
    <row r="7" spans="1:7" x14ac:dyDescent="0.45">
      <c r="A7" s="35" t="s">
        <v>79</v>
      </c>
      <c r="B7" s="35" t="s">
        <v>77</v>
      </c>
      <c r="C7" s="35" t="s">
        <v>78</v>
      </c>
      <c r="E7" s="2" t="s">
        <v>87</v>
      </c>
      <c r="F7" s="2"/>
      <c r="G7" s="2"/>
    </row>
    <row r="8" spans="1:7" x14ac:dyDescent="0.45">
      <c r="A8" s="37">
        <f>B4+B3</f>
        <v>1.3333333333333333</v>
      </c>
      <c r="B8" s="35">
        <f>COUNTIF('Pareto Analysis'!B:B,"&lt;="&amp;A8)</f>
        <v>6</v>
      </c>
      <c r="C8" s="38">
        <f>SUM($B$8:B8)/SUM($B$8:$B$13)</f>
        <v>0.66666666666666663</v>
      </c>
    </row>
    <row r="9" spans="1:7" x14ac:dyDescent="0.45">
      <c r="A9" s="37">
        <f>A8+$B$3</f>
        <v>1.6666666666666665</v>
      </c>
      <c r="B9" s="35">
        <f>COUNTIF('Pareto Analysis'!B:B,"&lt;="&amp;A9)-SUM($B$8:B8)</f>
        <v>0</v>
      </c>
      <c r="C9" s="38">
        <f>SUM($B$8:B9)/SUM($B$8:$B$13)</f>
        <v>0.66666666666666663</v>
      </c>
    </row>
    <row r="10" spans="1:7" x14ac:dyDescent="0.45">
      <c r="A10" s="37">
        <f t="shared" ref="A10:A12" si="0">A9+$B$3</f>
        <v>1.9999999999999998</v>
      </c>
      <c r="B10" s="35">
        <f>COUNTIF('Pareto Analysis'!B:B,"&lt;="&amp;A10)-SUM($B$8:B9)</f>
        <v>2</v>
      </c>
      <c r="C10" s="38">
        <f>SUM($B$8:B10)/SUM($B$8:$B$13)</f>
        <v>0.88888888888888884</v>
      </c>
    </row>
    <row r="11" spans="1:7" x14ac:dyDescent="0.45">
      <c r="A11" s="37">
        <f t="shared" si="0"/>
        <v>2.333333333333333</v>
      </c>
      <c r="B11" s="35">
        <f>COUNTIF('Pareto Analysis'!B:B,"&lt;="&amp;A11)-SUM($B$8:B10)</f>
        <v>0</v>
      </c>
      <c r="C11" s="38">
        <f>SUM($B$8:B11)/SUM($B$8:$B$13)</f>
        <v>0.88888888888888884</v>
      </c>
    </row>
    <row r="12" spans="1:7" x14ac:dyDescent="0.45">
      <c r="A12" s="37">
        <f t="shared" si="0"/>
        <v>2.6666666666666665</v>
      </c>
      <c r="B12" s="35">
        <f>COUNTIF('Pareto Analysis'!B:B,"&lt;="&amp;A12)-SUM($B$8:B11)</f>
        <v>0</v>
      </c>
      <c r="C12" s="38">
        <f>SUM($B$8:B12)/SUM($B$8:$B$13)</f>
        <v>0.88888888888888884</v>
      </c>
    </row>
    <row r="13" spans="1:7" x14ac:dyDescent="0.45">
      <c r="A13" s="37">
        <f>A12+$B$3</f>
        <v>3</v>
      </c>
      <c r="B13" s="35">
        <f>COUNTIF('Pareto Analysis'!B:B,"&lt;="&amp;A13)-SUM($B$8:B12)</f>
        <v>1</v>
      </c>
      <c r="C13" s="38">
        <f>SUM($B$8:B13)/SUM($B$8:$B$13)</f>
        <v>1</v>
      </c>
    </row>
    <row r="15" spans="1:7" x14ac:dyDescent="0.45">
      <c r="A15" s="36" t="s">
        <v>69</v>
      </c>
      <c r="B15" s="36"/>
      <c r="C15" s="36"/>
    </row>
    <row r="16" spans="1:7" x14ac:dyDescent="0.45">
      <c r="A16" s="35" t="s">
        <v>79</v>
      </c>
      <c r="B16" s="35" t="s">
        <v>77</v>
      </c>
      <c r="C16" s="35" t="s">
        <v>78</v>
      </c>
    </row>
    <row r="17" spans="1:3" x14ac:dyDescent="0.45">
      <c r="A17" s="37">
        <f>C4+C3</f>
        <v>1.5</v>
      </c>
      <c r="B17" s="35">
        <f>COUNTIF('Pareto Analysis'!G:G,"&lt;="&amp;A17)</f>
        <v>5</v>
      </c>
      <c r="C17" s="38">
        <f>SUM($B$17:B17)/SUM($B$17:$B$22)</f>
        <v>0.625</v>
      </c>
    </row>
    <row r="18" spans="1:3" x14ac:dyDescent="0.45">
      <c r="A18" s="37">
        <f>A17+$C$3</f>
        <v>2</v>
      </c>
      <c r="B18" s="35">
        <f>COUNTIF('Pareto Analysis'!G:G,"&lt;="&amp;A18)-SUM($B$17:B17)</f>
        <v>2</v>
      </c>
      <c r="C18" s="38">
        <f>SUM($B$17:B18)/SUM($B$17:$B$22)</f>
        <v>0.875</v>
      </c>
    </row>
    <row r="19" spans="1:3" x14ac:dyDescent="0.45">
      <c r="A19" s="37">
        <f t="shared" ref="A19:A21" si="1">A18+$C$3</f>
        <v>2.5</v>
      </c>
      <c r="B19" s="35">
        <f>COUNTIF('Pareto Analysis'!G:G,"&lt;="&amp;A19)-SUM($B$17:B18)</f>
        <v>0</v>
      </c>
      <c r="C19" s="38">
        <f>SUM($B$17:B19)/SUM($B$17:$B$22)</f>
        <v>0.875</v>
      </c>
    </row>
    <row r="20" spans="1:3" x14ac:dyDescent="0.45">
      <c r="A20" s="37">
        <f t="shared" si="1"/>
        <v>3</v>
      </c>
      <c r="B20" s="35">
        <f>COUNTIF('Pareto Analysis'!G:G,"&lt;="&amp;A20)-SUM($B$17:B19)</f>
        <v>0</v>
      </c>
      <c r="C20" s="38">
        <f>SUM($B$17:B20)/SUM($B$17:$B$22)</f>
        <v>0.875</v>
      </c>
    </row>
    <row r="21" spans="1:3" x14ac:dyDescent="0.45">
      <c r="A21" s="37">
        <f t="shared" si="1"/>
        <v>3.5</v>
      </c>
      <c r="B21" s="35">
        <f>COUNTIF('Pareto Analysis'!G:G,"&lt;="&amp;A21)-SUM($B$17:B20)</f>
        <v>0</v>
      </c>
      <c r="C21" s="38">
        <f>SUM($B$17:B21)/SUM($B$17:$B$22)</f>
        <v>0.875</v>
      </c>
    </row>
    <row r="22" spans="1:3" x14ac:dyDescent="0.45">
      <c r="A22" s="37">
        <f>A21+$C$3</f>
        <v>4</v>
      </c>
      <c r="B22" s="35">
        <f>COUNTIF('Pareto Analysis'!G:G,"&lt;="&amp;A22)-SUM($B$17:B21)</f>
        <v>1</v>
      </c>
      <c r="C22" s="38">
        <f>SUM($B$17:B22)/SUM($B$17:$B$22)</f>
        <v>1</v>
      </c>
    </row>
    <row r="24" spans="1:3" x14ac:dyDescent="0.45">
      <c r="A24" s="36" t="s">
        <v>70</v>
      </c>
      <c r="B24" s="36"/>
      <c r="C24" s="36"/>
    </row>
    <row r="25" spans="1:3" x14ac:dyDescent="0.45">
      <c r="A25" s="35" t="s">
        <v>79</v>
      </c>
      <c r="B25" s="35" t="s">
        <v>77</v>
      </c>
      <c r="C25" s="35" t="s">
        <v>78</v>
      </c>
    </row>
    <row r="26" spans="1:3" x14ac:dyDescent="0.45">
      <c r="A26" s="37">
        <f>D4+D3</f>
        <v>1.1666666666666667</v>
      </c>
      <c r="B26" s="35">
        <f>COUNTIF('Pareto Analysis'!L:L,"&lt;="&amp;A26)</f>
        <v>5</v>
      </c>
      <c r="C26" s="38">
        <f>SUM($B$26:B26)/SUM($B$26:$B$31)</f>
        <v>0.55555555555555558</v>
      </c>
    </row>
    <row r="27" spans="1:3" x14ac:dyDescent="0.45">
      <c r="A27" s="37">
        <f>A26+$D$3</f>
        <v>1.3333333333333335</v>
      </c>
      <c r="B27" s="35">
        <f>COUNTIF('Pareto Analysis'!L:L,"&lt;="&amp;A27)-SUM($B$26:B26)</f>
        <v>0</v>
      </c>
      <c r="C27" s="38">
        <f>SUM($B$26:B27)/SUM($B$26:$B$31)</f>
        <v>0.55555555555555558</v>
      </c>
    </row>
    <row r="28" spans="1:3" x14ac:dyDescent="0.45">
      <c r="A28" s="37">
        <f t="shared" ref="A28:A31" si="2">A27+$D$3</f>
        <v>1.5000000000000002</v>
      </c>
      <c r="B28" s="35">
        <f>COUNTIF('Pareto Analysis'!L:L,"&lt;="&amp;A28)-SUM($B$26:B27)</f>
        <v>0</v>
      </c>
      <c r="C28" s="38">
        <f>SUM($B$26:B28)/SUM($B$26:$B$31)</f>
        <v>0.55555555555555558</v>
      </c>
    </row>
    <row r="29" spans="1:3" x14ac:dyDescent="0.45">
      <c r="A29" s="37">
        <f t="shared" si="2"/>
        <v>1.666666666666667</v>
      </c>
      <c r="B29" s="35">
        <f>COUNTIF('Pareto Analysis'!L:L,"&lt;="&amp;A29)-SUM($B$26:B28)</f>
        <v>0</v>
      </c>
      <c r="C29" s="38">
        <f>SUM($B$26:B29)/SUM($B$26:$B$31)</f>
        <v>0.55555555555555558</v>
      </c>
    </row>
    <row r="30" spans="1:3" x14ac:dyDescent="0.45">
      <c r="A30" s="37">
        <f t="shared" si="2"/>
        <v>1.8333333333333337</v>
      </c>
      <c r="B30" s="35">
        <f>COUNTIF('Pareto Analysis'!L:L,"&lt;="&amp;A30)-SUM($B$26:B29)</f>
        <v>0</v>
      </c>
      <c r="C30" s="38">
        <f>SUM($B$26:B30)/SUM($B$26:$B$31)</f>
        <v>0.55555555555555558</v>
      </c>
    </row>
    <row r="31" spans="1:3" x14ac:dyDescent="0.45">
      <c r="A31" s="37">
        <f t="shared" si="2"/>
        <v>2.0000000000000004</v>
      </c>
      <c r="B31" s="35">
        <f>COUNTIF('Pareto Analysis'!L:L,"&lt;="&amp;A31)-SUM($B$26:B30)</f>
        <v>4</v>
      </c>
      <c r="C31" s="38">
        <f>SUM($B$26:B31)/SUM($B$26:$B$31)</f>
        <v>1</v>
      </c>
    </row>
    <row r="33" spans="1:2" x14ac:dyDescent="0.45">
      <c r="A33" s="36" t="s">
        <v>80</v>
      </c>
      <c r="B33" s="36"/>
    </row>
    <row r="34" spans="1:2" x14ac:dyDescent="0.45">
      <c r="A34" s="35" t="s">
        <v>83</v>
      </c>
      <c r="B34" s="35">
        <f>COUNTA('Pareto Analysis'!A:A)</f>
        <v>11</v>
      </c>
    </row>
    <row r="35" spans="1:2" x14ac:dyDescent="0.45">
      <c r="A35" s="35" t="s">
        <v>81</v>
      </c>
      <c r="B35" s="35">
        <f>COUNTA('Pareto Analysis'!F:F)</f>
        <v>10</v>
      </c>
    </row>
    <row r="36" spans="1:2" x14ac:dyDescent="0.45">
      <c r="A36" s="35" t="s">
        <v>82</v>
      </c>
      <c r="B36" s="35">
        <f>COUNTA('Pareto Analysis'!K:K)</f>
        <v>11</v>
      </c>
    </row>
    <row r="49" spans="4:7" x14ac:dyDescent="0.45">
      <c r="D49" s="3" t="s">
        <v>89</v>
      </c>
      <c r="E49" s="3"/>
      <c r="F49" s="3"/>
      <c r="G49" s="3"/>
    </row>
    <row r="50" spans="4:7" x14ac:dyDescent="0.45">
      <c r="D50" s="2" t="s">
        <v>85</v>
      </c>
      <c r="E50" s="2"/>
      <c r="F50" s="2"/>
      <c r="G50" s="2"/>
    </row>
    <row r="51" spans="4:7" x14ac:dyDescent="0.45">
      <c r="D51" s="2" t="s">
        <v>84</v>
      </c>
      <c r="E51" s="2"/>
      <c r="F51" s="2"/>
      <c r="G51" s="2"/>
    </row>
  </sheetData>
  <mergeCells count="6">
    <mergeCell ref="A33:B33"/>
    <mergeCell ref="E5:G5"/>
    <mergeCell ref="D49:G49"/>
    <mergeCell ref="A6:C6"/>
    <mergeCell ref="A15:C15"/>
    <mergeCell ref="A24:C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Welcome">
                <anchor moveWithCells="1">
                  <from>
                    <xdr:col>3</xdr:col>
                    <xdr:colOff>423863</xdr:colOff>
                    <xdr:row>9</xdr:row>
                    <xdr:rowOff>61913</xdr:rowOff>
                  </from>
                  <to>
                    <xdr:col>6</xdr:col>
                    <xdr:colOff>19050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ataEntry">
                <anchor moveWithCells="1">
                  <from>
                    <xdr:col>3</xdr:col>
                    <xdr:colOff>404813</xdr:colOff>
                    <xdr:row>12</xdr:row>
                    <xdr:rowOff>71438</xdr:rowOff>
                  </from>
                  <to>
                    <xdr:col>6</xdr:col>
                    <xdr:colOff>33338</xdr:colOff>
                    <xdr:row>14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aretoAnalysis">
                <anchor moveWithCells="1">
                  <from>
                    <xdr:col>3</xdr:col>
                    <xdr:colOff>390525</xdr:colOff>
                    <xdr:row>15</xdr:row>
                    <xdr:rowOff>52388</xdr:rowOff>
                  </from>
                  <to>
                    <xdr:col>6</xdr:col>
                    <xdr:colOff>28575</xdr:colOff>
                    <xdr:row>17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General.Issues">
                <anchor moveWithCells="1">
                  <from>
                    <xdr:col>3</xdr:col>
                    <xdr:colOff>395288</xdr:colOff>
                    <xdr:row>17</xdr:row>
                    <xdr:rowOff>171450</xdr:rowOff>
                  </from>
                  <to>
                    <xdr:col>5</xdr:col>
                    <xdr:colOff>638175</xdr:colOff>
                    <xdr:row>19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DFE6D-9253-4C8B-A74C-31F75690F9FD}">
  <sheetPr codeName="Sheet5"/>
  <dimension ref="A1:A9"/>
  <sheetViews>
    <sheetView workbookViewId="0">
      <selection activeCell="D3" sqref="D3"/>
    </sheetView>
  </sheetViews>
  <sheetFormatPr defaultRowHeight="14.25" x14ac:dyDescent="0.45"/>
  <sheetData>
    <row r="1" spans="1:1" x14ac:dyDescent="0.45">
      <c r="A1">
        <v>22</v>
      </c>
    </row>
    <row r="2" spans="1:1" x14ac:dyDescent="0.45">
      <c r="A2">
        <v>5</v>
      </c>
    </row>
    <row r="3" spans="1:1" x14ac:dyDescent="0.45">
      <c r="A3">
        <v>12</v>
      </c>
    </row>
    <row r="4" spans="1:1" x14ac:dyDescent="0.45">
      <c r="A4">
        <v>37</v>
      </c>
    </row>
    <row r="5" spans="1:1" x14ac:dyDescent="0.45">
      <c r="A5">
        <v>14</v>
      </c>
    </row>
    <row r="6" spans="1:1" x14ac:dyDescent="0.45">
      <c r="A6">
        <v>10</v>
      </c>
    </row>
    <row r="7" spans="1:1" x14ac:dyDescent="0.45">
      <c r="A7">
        <v>15</v>
      </c>
    </row>
    <row r="8" spans="1:1" x14ac:dyDescent="0.45">
      <c r="A8">
        <v>34</v>
      </c>
    </row>
    <row r="9" spans="1:1" x14ac:dyDescent="0.45">
      <c r="A9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Welcome</vt:lpstr>
      <vt:lpstr>Issues</vt:lpstr>
      <vt:lpstr>Data Entry</vt:lpstr>
      <vt:lpstr>Pareto Analysis</vt:lpstr>
      <vt:lpstr>Histogram</vt:lpstr>
      <vt:lpstr>DummySheet</vt:lpstr>
      <vt:lpstr>Fields</vt:lpstr>
      <vt:lpstr>Issues</vt:lpstr>
      <vt:lpstr>Large</vt:lpstr>
      <vt:lpstr>Options</vt:lpstr>
      <vt:lpstr>Welcome!Print_Area</vt:lpstr>
      <vt:lpstr>Quality</vt:lpstr>
      <vt:lpstr>rowsp</vt:lpstr>
      <vt:lpstr>Small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Schieber</dc:creator>
  <cp:lastModifiedBy>Jackson Schieber</cp:lastModifiedBy>
  <dcterms:created xsi:type="dcterms:W3CDTF">2021-10-28T14:15:10Z</dcterms:created>
  <dcterms:modified xsi:type="dcterms:W3CDTF">2021-11-15T00:58:21Z</dcterms:modified>
</cp:coreProperties>
</file>